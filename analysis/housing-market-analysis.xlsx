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ta" sheetId="2" r:id="rId2"/>
    <sheet name="Pivot" sheetId="3" r:id="rId3"/>
    <sheet name="Notes" sheetId="4" r:id="rId4"/>
    <sheet name="Calc" sheetId="5" r:id="rId5"/>
  </sheets>
  <calcPr calcId="124519" fullCalcOnLoad="1"/>
  <pivotCaches>
    <pivotCache cacheId="1" r:id="rIdPivotCache1"/>
  </pivotCaches>
</workbook>
</file>

<file path=xl/sharedStrings.xml><?xml version="1.0" encoding="utf-8"?>
<sst xmlns="http://schemas.openxmlformats.org/spreadsheetml/2006/main" count="2102" uniqueCount="257">
  <si>
    <t>State code</t>
  </si>
  <si>
    <t>State</t>
  </si>
  <si>
    <t>Region</t>
  </si>
  <si>
    <t>Division</t>
  </si>
  <si>
    <t>Year</t>
  </si>
  <si>
    <t>Purchase loans</t>
  </si>
  <si>
    <t>Purchase volume</t>
  </si>
  <si>
    <t>Refinance loans</t>
  </si>
  <si>
    <t>Refinance volume</t>
  </si>
  <si>
    <t>Cash-out refi loans</t>
  </si>
  <si>
    <t>Cash-out refi volume</t>
  </si>
  <si>
    <t>Total loans</t>
  </si>
  <si>
    <t>Total dollar volume</t>
  </si>
  <si>
    <t>Avg loan size</t>
  </si>
  <si>
    <t>Q4 HPI YoY change</t>
  </si>
  <si>
    <t>AL</t>
  </si>
  <si>
    <t>Alabama</t>
  </si>
  <si>
    <t>South</t>
  </si>
  <si>
    <t>East South Central</t>
  </si>
  <si>
    <t>AK</t>
  </si>
  <si>
    <t>Alaska</t>
  </si>
  <si>
    <t>West</t>
  </si>
  <si>
    <t>Pacific</t>
  </si>
  <si>
    <t>AZ</t>
  </si>
  <si>
    <t>Arizona</t>
  </si>
  <si>
    <t>Mountain</t>
  </si>
  <si>
    <t>AR</t>
  </si>
  <si>
    <t>Arkansas</t>
  </si>
  <si>
    <t>West South Central</t>
  </si>
  <si>
    <t>CA</t>
  </si>
  <si>
    <t>California</t>
  </si>
  <si>
    <t>CO</t>
  </si>
  <si>
    <t>Colorado</t>
  </si>
  <si>
    <t>CT</t>
  </si>
  <si>
    <t>Connecticut</t>
  </si>
  <si>
    <t>Northeast</t>
  </si>
  <si>
    <t>New England</t>
  </si>
  <si>
    <t>DE</t>
  </si>
  <si>
    <t>Delaware</t>
  </si>
  <si>
    <t>South Atlantic</t>
  </si>
  <si>
    <t>DC</t>
  </si>
  <si>
    <t>District of Columbia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</si>
  <si>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</si>
  <si>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</si>
  <si>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</si>
  <si>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</si>
  <si>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</si>
  <si>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</si>
  <si>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</si>
  <si>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</si>
  <si>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</si>
  <si>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</si>
  <si>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Midwest</t>
  </si>
  <si>
    <t>East North Central</t>
  </si>
  <si>
    <t>IN</t>
  </si>
  <si>
    <t>Indiana</t>
  </si>
  <si>
    <t>IA</t>
  </si>
  <si>
    <t>Iowa</t>
  </si>
  <si>
    <t>West North Central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</si>
  <si>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</si>
  <si>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</si>
  <si>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</si>
  <si>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</si>
  <si>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</si>
  <si>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</si>
  <si>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</si>
  <si>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</si>
  <si>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</si>
  <si>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</si>
  <si>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</si>
  <si>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</si>
  <si>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</si>
  <si>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</si>
  <si>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</si>
  <si>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</si>
  <si>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</si>
  <si>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</si>
  <si>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</si>
  <si>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</si>
  <si>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</si>
  <si>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</si>
  <si>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</si>
  <si>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</si>
  <si>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</si>
  <si>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</si>
  <si>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</si>
  <si>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</si>
  <si>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</si>
  <si>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</si>
  <si>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Middle Atlantic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</si>
  <si>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</si>
  <si>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</si>
  <si>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</si>
  <si>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</si>
  <si>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</si>
  <si>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</si>
  <si>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</si>
  <si>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</si>
  <si>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</si>
  <si>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</si>
  <si>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</si>
  <si>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</si>
  <si>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</si>
  <si>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</si>
  <si>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</si>
  <si>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</si>
  <si>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</si>
  <si>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</si>
  <si>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</si>
  <si>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</si>
  <si>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</si>
  <si>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</si>
  <si>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</si>
  <si>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</si>
  <si>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</si>
  <si>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</si>
  <si>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</si>
  <si>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</si>
  <si>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</si>
  <si>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</si>
  <si>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</si>
  <si>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</si>
  <si>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</si>
  <si>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</si>
  <si>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</si>
  <si>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</si>
  <si>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</si>
  <si>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</si>
  <si>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</si>
  <si>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</si>
  <si>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Sources: CFPB HMDA (originated loans, 2018-2025); FHFA HPI purchase-only, index_nsa (Q4 vs prior-year Q4).</t>
  </si>
  <si>
    <t>Built from public FHFA and CFPB data. Not an official Fannie Mae, FHFA, or CFPB product.</t>
  </si>
  <si>
    <t>HPI YoY 2026 Q2</t>
  </si>
  <si>
    <t>Change since 2019 Q4</t>
  </si>
  <si>
    <t>HPI 2026 Q2</t>
  </si>
  <si>
    <t>Metric</t>
  </si>
  <si>
    <t>Value</t>
  </si>
  <si>
    <t>U.S. HPI YoY (2026 Q2)</t>
  </si>
  <si>
    <t>U.S. change since 2019 Q4</t>
  </si>
  <si>
    <t>U.S. avg loan size (2025)</t>
  </si>
  <si>
    <t>Selected state</t>
  </si>
  <si>
    <t>Home purchase</t>
  </si>
  <si>
    <t>Refinance</t>
  </si>
  <si>
    <t>Cash-out refinance</t>
  </si>
  <si>
    <t>State Q4 HPI YoY</t>
  </si>
  <si>
    <t>U.S. Q4 HPI YoY</t>
  </si>
  <si>
    <t>Chart titles</t>
  </si>
  <si>
    <t>Quarter</t>
  </si>
  <si>
    <t>U.S.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</si>
  <si>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</si>
  <si>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</si>
  <si>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</si>
  <si>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</si>
  <si>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</si>
  <si>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</si>
  <si>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</si>
  <si>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</si>
  <si>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</si>
  <si>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</si>
  <si>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</si>
  <si>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</si>
  <si>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</si>
  <si>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</si>
  <si>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</si>
  <si>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</si>
  <si>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</si>
  <si>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</si>
  <si>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</si>
  <si>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</si>
  <si>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</si>
  <si>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</si>
  <si>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</si>
  <si>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</si>
  <si>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</si>
  <si>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</si>
  <si>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</si>
  <si>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</si>
  <si>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</si>
  <si>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</si>
  <si>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</si>
  <si>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</si>
  <si>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</si>
  <si>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</si>
  <si>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</si>
  <si>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</si>
  <si>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</si>
  <si>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</si>
  <si>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</si>
  <si>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</si>
  <si>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</si>
  <si>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</si>
  <si>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</si>
  <si>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</si>
  <si>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</si>
  <si>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</si>
  <si>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Total loans by state and year (sparkline source)</t>
  </si>
  <si>
    <t>PivotTable: loans and average loan size by Census region and year</t>
  </si>
  <si>
    <t>Source: CFPB HMDA originated loans, 2018-2025. Average loan size = total dollar volume / total loans (calculated field). Right-click &gt; Refresh after you edit the Data table.</t>
  </si>
  <si>
    <t>Loans (count)</t>
  </si>
  <si>
    <t>Average loan size</t>
  </si>
  <si>
    <t>Total Loans (count)</t>
  </si>
  <si>
    <t>Total Average loan size</t>
  </si>
  <si>
    <t>Grand Total</t>
  </si>
  <si>
    <t>Source: CFPB HMDA, originated loans 2018-2025 (latest HMDA year: 2025).</t>
  </si>
  <si>
    <t>U.S. Housing Market Dashboard</t>
  </si>
  <si>
    <t>Home prices: FHFA HPI (purchase-only, latest quarter 2026 Q2). Loans: CFPB HMDA originations (2018-2025). HPI is an index (1991 Q1 = 100), not a price.</t>
  </si>
  <si>
    <t>Select a state  &gt;</t>
  </si>
  <si>
    <t>Cards, charts, and the highlighted heat-map row update when you change the state.</t>
  </si>
  <si>
    <t>Home price change, YoY (2026 Q2)</t>
  </si>
  <si>
    <t>Home price change since 2019 Q4</t>
  </si>
  <si>
    <t>Loans originated (2025)</t>
  </si>
  <si>
    <t>Average loan size (2025)</t>
  </si>
  <si>
    <t>Heat map: Q4 home price change, year over year (FHFA HPI, purchase-only, index_nsa)</t>
  </si>
  <si>
    <t>Price trend</t>
  </si>
  <si>
    <t>Loans trend</t>
  </si>
  <si>
    <t>Source: FHFA HPI, Q4 vs. prior-year Q4, 2018-2025 (latest available quarter: 2026 Q2). Orange = price decline, purple = price increase. Price trend = these values; loans trend = CFPB HMDA total originations, 2018-2025.</t>
  </si>
  <si>
    <t>Source: CFPB HMDA, originated loans, 2018-2025 (latest HMDA year: 2025).</t>
  </si>
  <si>
    <t>Source: FHFA HPI, purchase-only, index_nsa (not seasonally adjusted). U.S. = FHFA quarterly U.S. index. Years 2018-2025.</t>
  </si>
  <si>
    <t>Source: FHFA HPI, purchase-only, index_sa (seasonally adjusted). Latest quarter: 2026 Q2. U.S. = FHFA quarterly U.S. index.</t>
  </si>
  <si>
    <t>How to use</t>
  </si>
  <si>
    <t>1. Pick a state in the yellow box.  2. The cards and the three charts show that state.</t>
  </si>
  <si>
    <t>3. The heat map shows all states. The selected state has a bold row.  Latest HPI quarter: 2026 Q2.</t>
  </si>
  <si>
    <t>Notes and sources</t>
  </si>
  <si>
    <t>Source</t>
  </si>
  <si>
    <t>Link</t>
  </si>
  <si>
    <t>Used for</t>
  </si>
  <si>
    <t>FHFA House Price Index (HPI) master file</t>
  </si>
  <si>
    <t>https://www.fhfa.gov/hpi/download/monthly/hpi_master.csv</t>
  </si>
  <si>
    <t>Heat map, home price cards and charts (traditional, purchase-only; index_nsa for year over year, index_sa for levels and since 2019 Q4)</t>
  </si>
  <si>
    <t>CFPB HMDA Data Browser API</t>
  </si>
  <si>
    <t>https://ffiec.cfpb.gov/v2/data-browser-api/view/aggregations</t>
  </si>
  <si>
    <t>Loans and dollar volume by state, year, and loan purpose (originated loans only)</t>
  </si>
  <si>
    <t>U.S. Census Bureau regions and divisions</t>
  </si>
  <si>
    <t>https://www2.census.gov/geo/pdfs/maps-data/maps/reference/us_regdiv.pdf</t>
  </si>
  <si>
    <t>Region and division for each state</t>
  </si>
  <si>
    <t>Item</t>
  </si>
  <si>
    <t>Definition</t>
  </si>
  <si>
    <t>Latest period</t>
  </si>
  <si>
    <t>Latest complete HPI quarter: 2026 Q2. HMDA years: 2018-2025.</t>
  </si>
  <si>
    <t>HPI</t>
  </si>
  <si>
    <t>The HPI is an index, not a price. 1991 Q1 = 100 (January 1991 = 100 for monthly data).</t>
  </si>
  <si>
    <t>State Q4 index_nsa divided by the same state's Q4 index_nsa one year earlier, minus 1.</t>
  </si>
  <si>
    <t>State YoY change (cards)</t>
  </si>
  <si>
    <t>State index_nsa for 2026 Q2 compared with the same quarter one year earlier.</t>
  </si>
  <si>
    <t>U.S. YoY change</t>
  </si>
  <si>
    <t>FHFA's quarterly U.S. index_nsa for 2026 Q2, compared with the same quarter one year earlier.</t>
  </si>
  <si>
    <t>index_sa (seasonally adjusted) for 2026 Q2 compared with 2019 Q4, the last quarter before the pandemic. The two quarters are different seasons, so the seasonally adjusted index is used.</t>
  </si>
  <si>
    <t>HPI trend chart</t>
  </si>
  <si>
    <t>index_sa (seasonally adjusted), because the chart compares many different quarters.</t>
  </si>
  <si>
    <t>Loans</t>
  </si>
  <si>
    <t>HMDA originated loans (action taken = 1). Purposes: Home purchase (1), Refinance (31), Cash-out refinance (32).</t>
  </si>
  <si>
    <t>Total dollar volume / total loans for the three loan purposes. The PivotTable uses the calculated field 'Weighted loan size' (= sum of dollar volume / sum of loans).</t>
  </si>
  <si>
    <t>Sheets</t>
  </si>
  <si>
    <t>Dashboard (state drop-down, KPI cards, charts, heat map, sparklines); Data (tblData table); Pivot (PivotTable and PivotChart); Calc (formula helpers for the dashboard).</t>
  </si>
  <si>
    <t>Rebuild</t>
  </si>
  <si>
    <t>Run: .venv/bin/python analysis/build_workbook.py (reads data/ only).</t>
  </si>
  <si>
    <t>Facts from the data only. No forecasts and no investment advice.</t>
  </si>
</sst>
</file>

<file path=xl/styles.xml><?xml version="1.0" encoding="utf-8"?>
<styleSheet xmlns="http://schemas.openxmlformats.org/spreadsheetml/2006/main">
  <numFmts count="5">
    <numFmt numFmtId="164" formatCode="+0.0%;-0.0%;0.0%"/>
    <numFmt numFmtId="165" formatCode="#,##0"/>
    <numFmt numFmtId="166" formatCode="$#,##0"/>
    <numFmt numFmtId="167" formatCode="0.0%"/>
    <numFmt numFmtId="168" formatCode="0.00"/>
  </numFmts>
  <fonts count="12">
    <font>
      <sz val="11"/>
      <color theme="1"/>
      <name val="Calibri"/>
      <family val="2"/>
      <scheme val="minor"/>
    </font>
    <font>
      <b/>
      <sz val="18"/>
      <color rgb="FF1F2937"/>
      <name val="Calibri"/>
      <family val="2"/>
      <scheme val="minor"/>
    </font>
    <font>
      <i/>
      <sz val="11"/>
      <color rgb="FF4B5563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rgb="FF4B556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7415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sz val="10"/>
      <color rgb="FF4B55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1F4E79"/>
        <bgColor indexed="64"/>
      </patternFill>
    </fill>
  </fills>
  <borders count="4">
    <border>
      <left/>
      <right/>
      <top/>
      <bottom/>
      <diagonal/>
    </border>
    <border>
      <left style="medium">
        <color rgb="FFB7791F"/>
      </left>
      <right style="medium">
        <color rgb="FFB7791F"/>
      </right>
      <top style="medium">
        <color rgb="FFB7791F"/>
      </top>
      <bottom style="medium">
        <color rgb="FFB7791F"/>
      </bottom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3" borderId="2" xfId="0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166" fontId="7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3" fillId="0" borderId="0" xfId="0" applyFont="1"/>
    <xf numFmtId="0" fontId="9" fillId="4" borderId="3" xfId="0" applyFont="1" applyFill="1" applyBorder="1" applyAlignment="1">
      <alignment vertical="center" wrapText="1"/>
    </xf>
    <xf numFmtId="167" fontId="10" fillId="0" borderId="0" xfId="0" applyNumberFormat="1" applyFont="1" applyAlignment="1">
      <alignment horizontal="center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11" fillId="0" borderId="0" xfId="0" applyFont="1"/>
    <xf numFmtId="0" fontId="0" fillId="0" borderId="0" xfId="0" applyAlignment="1">
      <alignment vertical="top" wrapText="1"/>
    </xf>
    <xf numFmtId="168" fontId="0" fillId="0" borderId="0" xfId="0" applyNumberFormat="1"/>
  </cellXfs>
  <cellStyles count="1">
    <cellStyle name="Normal" xfId="0" builtinId="0"/>
  </cellStyles>
  <dxfs count="4">
    <dxf>
      <numFmt numFmtId="165" formatCode="#,##0"/>
    </dxf>
    <dxf>
      <numFmt numFmtId="166" formatCode="$#,##0"/>
    </dxf>
    <dxf>
      <numFmt numFmtId="164" formatCode="+0.0%;-0.0%;0.0%"/>
    </dxf>
    <dxf>
      <font>
        <b/>
      </font>
      <border>
        <left/>
        <right/>
        <top style="medium">
          <color rgb="FF000000"/>
        </top>
        <bottom style="medium">
          <color rgb="FF00000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PivotCache1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Calc!$H$19</c:f>
          <c:strCache>
            <c:ptCount val="1"/>
            <c:pt idx="0">
              <c:v>Loans originated by purpose, 2018-2025: Virginia</c:v>
            </c:pt>
          </c:strCache>
        </c:strRef>
      </c:tx>
      <c:layout/>
      <c:txPr>
        <a:bodyPr/>
        <a:lstStyle/>
        <a:p>
          <a:pPr>
            <a:defRPr sz="1200" baseline="0"/>
          </a:pPr>
          <a:endParaRPr lang="en-US"/>
        </a:p>
      </c:txPr>
    </c:title>
    <c:plotArea>
      <c:layout/>
      <c:barChart>
        <c:barDir val="col"/>
        <c:grouping val="stacked"/>
        <c:ser>
          <c:idx val="0"/>
          <c:order val="0"/>
          <c:tx>
            <c:strRef>
              <c:f>Calc!$I$9</c:f>
              <c:strCache>
                <c:ptCount val="1"/>
                <c:pt idx="0">
                  <c:v>Home purchase</c:v>
                </c:pt>
              </c:strCache>
            </c:strRef>
          </c:tx>
          <c:spPr>
            <a:solidFill>
              <a:srgbClr val="0072B2"/>
            </a:solidFill>
          </c:spPr>
          <c:cat>
            <c:numRef>
              <c:f>Calc!$H$10:$H$17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Calc!$I$10:$I$17</c:f>
              <c:numCache>
                <c:formatCode>General</c:formatCode>
                <c:ptCount val="8"/>
                <c:pt idx="0">
                  <c:v>126055</c:v>
                </c:pt>
                <c:pt idx="1">
                  <c:v>134404</c:v>
                </c:pt>
                <c:pt idx="2">
                  <c:v>148659</c:v>
                </c:pt>
                <c:pt idx="3">
                  <c:v>167028</c:v>
                </c:pt>
                <c:pt idx="4">
                  <c:v>130317</c:v>
                </c:pt>
                <c:pt idx="5">
                  <c:v>97993</c:v>
                </c:pt>
                <c:pt idx="6">
                  <c:v>102212</c:v>
                </c:pt>
                <c:pt idx="7">
                  <c:v>103337</c:v>
                </c:pt>
              </c:numCache>
            </c:numRef>
          </c:val>
        </c:ser>
        <c:ser>
          <c:idx val="1"/>
          <c:order val="1"/>
          <c:tx>
            <c:strRef>
              <c:f>Calc!$J$9</c:f>
              <c:strCache>
                <c:ptCount val="1"/>
                <c:pt idx="0">
                  <c:v>Refinance</c:v>
                </c:pt>
              </c:strCache>
            </c:strRef>
          </c:tx>
          <c:spPr>
            <a:solidFill>
              <a:srgbClr val="E69F00"/>
            </a:solidFill>
          </c:spPr>
          <c:cat>
            <c:numRef>
              <c:f>Calc!$H$10:$H$17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Calc!$J$10:$J$17</c:f>
              <c:numCache>
                <c:formatCode>General</c:formatCode>
                <c:ptCount val="8"/>
                <c:pt idx="0">
                  <c:v>28560</c:v>
                </c:pt>
                <c:pt idx="1">
                  <c:v>68456</c:v>
                </c:pt>
                <c:pt idx="2">
                  <c:v>244471</c:v>
                </c:pt>
                <c:pt idx="3">
                  <c:v>198915</c:v>
                </c:pt>
                <c:pt idx="4">
                  <c:v>27413</c:v>
                </c:pt>
                <c:pt idx="5">
                  <c:v>10567</c:v>
                </c:pt>
                <c:pt idx="6">
                  <c:v>20878</c:v>
                </c:pt>
                <c:pt idx="7">
                  <c:v>31796</c:v>
                </c:pt>
              </c:numCache>
            </c:numRef>
          </c:val>
        </c:ser>
        <c:ser>
          <c:idx val="2"/>
          <c:order val="2"/>
          <c:tx>
            <c:strRef>
              <c:f>Calc!$K$9</c:f>
              <c:strCache>
                <c:ptCount val="1"/>
                <c:pt idx="0">
                  <c:v>Cash-out refinance</c:v>
                </c:pt>
              </c:strCache>
            </c:strRef>
          </c:tx>
          <c:spPr>
            <a:solidFill>
              <a:srgbClr val="009E73"/>
            </a:solidFill>
          </c:spPr>
          <c:cat>
            <c:numRef>
              <c:f>Calc!$H$10:$H$17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Calc!$K$10:$K$17</c:f>
              <c:numCache>
                <c:formatCode>General</c:formatCode>
                <c:ptCount val="8"/>
                <c:pt idx="0">
                  <c:v>29044</c:v>
                </c:pt>
                <c:pt idx="1">
                  <c:v>37247</c:v>
                </c:pt>
                <c:pt idx="2">
                  <c:v>56034</c:v>
                </c:pt>
                <c:pt idx="3">
                  <c:v>81112</c:v>
                </c:pt>
                <c:pt idx="4">
                  <c:v>41261</c:v>
                </c:pt>
                <c:pt idx="5">
                  <c:v>17941</c:v>
                </c:pt>
                <c:pt idx="6">
                  <c:v>22530</c:v>
                </c:pt>
                <c:pt idx="7">
                  <c:v>28965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HMDA year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Loans originated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Calc!$H$20</c:f>
          <c:strCache>
            <c:ptCount val="1"/>
            <c:pt idx="0">
              <c:v>Q4 home price change, year over year: Virginia vs. U.S.</c:v>
            </c:pt>
          </c:strCache>
        </c:strRef>
      </c:tx>
      <c:layout/>
      <c:txPr>
        <a:bodyPr/>
        <a:lstStyle/>
        <a:p>
          <a:pPr>
            <a:defRPr sz="1200" baseline="0"/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Calc!$I$6</c:f>
              <c:strCache>
                <c:ptCount val="1"/>
                <c:pt idx="0">
                  <c:v>Virginia</c:v>
                </c:pt>
              </c:strCache>
            </c:strRef>
          </c:tx>
          <c:spPr>
            <a:solidFill>
              <a:srgbClr val="0072B2"/>
            </a:solidFill>
          </c:spPr>
          <c:cat>
            <c:numRef>
              <c:f>Calc!$H$10:$H$17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Calc!$M$10:$M$17</c:f>
              <c:numCache>
                <c:formatCode>General</c:formatCode>
                <c:ptCount val="8"/>
                <c:pt idx="0">
                  <c:v>0.044427</c:v>
                </c:pt>
                <c:pt idx="1">
                  <c:v>0.053181</c:v>
                </c:pt>
                <c:pt idx="2">
                  <c:v>0.105291</c:v>
                </c:pt>
                <c:pt idx="3">
                  <c:v>0.13443</c:v>
                </c:pt>
                <c:pt idx="4">
                  <c:v>0.082709</c:v>
                </c:pt>
                <c:pt idx="5">
                  <c:v>0.071558</c:v>
                </c:pt>
                <c:pt idx="6">
                  <c:v>0.058691</c:v>
                </c:pt>
                <c:pt idx="7">
                  <c:v>0.037856</c:v>
                </c:pt>
              </c:numCache>
            </c:numRef>
          </c:val>
        </c:ser>
        <c:ser>
          <c:idx val="1"/>
          <c:order val="1"/>
          <c:tx>
            <c:v>U.S.</c:v>
          </c:tx>
          <c:spPr>
            <a:solidFill>
              <a:srgbClr val="E69F00"/>
            </a:solidFill>
          </c:spPr>
          <c:cat>
            <c:numRef>
              <c:f>Calc!$H$10:$H$17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Calc!$N$10:$N$17</c:f>
              <c:numCache>
                <c:formatCode>General</c:formatCode>
                <c:ptCount val="8"/>
                <c:pt idx="0">
                  <c:v>0.05439244663382614</c:v>
                </c:pt>
                <c:pt idx="1">
                  <c:v>0.05438972162740896</c:v>
                </c:pt>
                <c:pt idx="2">
                  <c:v>0.1103315855549811</c:v>
                </c:pt>
                <c:pt idx="3">
                  <c:v>0.1731293648154306</c:v>
                </c:pt>
                <c:pt idx="4">
                  <c:v>0.07619911554598024</c:v>
                </c:pt>
                <c:pt idx="5">
                  <c:v>0.06126857022442311</c:v>
                </c:pt>
                <c:pt idx="6">
                  <c:v>0.04609084139985131</c:v>
                </c:pt>
                <c:pt idx="7">
                  <c:v>0.02092675635276531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 (Q4 vs. prior-year Q4)</a:t>
                </a:r>
              </a:p>
            </c:rich>
          </c:tx>
          <c:layout/>
        </c:title>
        <c:numFmt formatCode="General" sourceLinked="1"/>
        <c:tickLblPos val="low"/>
        <c:txPr>
          <a:bodyPr/>
          <a:lstStyle/>
          <a:p>
            <a:pPr>
              <a:defRPr sz="10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Change in HPI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Calc!$H$21</c:f>
          <c:strCache>
            <c:ptCount val="1"/>
            <c:pt idx="0">
              <c:v>House price index (1991 Q1 = 100), 2015 Q1-2026 Q2: Virginia vs. U.S.</c:v>
            </c:pt>
          </c:strCache>
        </c:strRef>
      </c:tx>
      <c:layout/>
      <c:txPr>
        <a:bodyPr/>
        <a:lstStyle/>
        <a:p>
          <a:pPr>
            <a:defRPr sz="1200" baseline="0"/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Calc!$I$6</c:f>
              <c:strCache>
                <c:ptCount val="1"/>
                <c:pt idx="0">
                  <c:v>Virginia</c:v>
                </c:pt>
              </c:strCache>
            </c:strRef>
          </c:tx>
          <c:spPr>
            <a:ln w="28575">
              <a:solidFill>
                <a:srgbClr val="0072B2"/>
              </a:solidFill>
            </a:ln>
          </c:spPr>
          <c:marker>
            <c:symbol val="none"/>
          </c:marker>
          <c:cat>
            <c:strRef>
              <c:f>Calc!$P$2:$P$47</c:f>
              <c:strCache>
                <c:ptCount val="46"/>
                <c:pt idx="0">
                  <c:v>2015 Q1</c:v>
                </c:pt>
                <c:pt idx="1">
                  <c:v>2015 Q2</c:v>
                </c:pt>
                <c:pt idx="2">
                  <c:v>2015 Q3</c:v>
                </c:pt>
                <c:pt idx="3">
                  <c:v>2015 Q4</c:v>
                </c:pt>
                <c:pt idx="4">
                  <c:v>2016 Q1</c:v>
                </c:pt>
                <c:pt idx="5">
                  <c:v>2016 Q2</c:v>
                </c:pt>
                <c:pt idx="6">
                  <c:v>2016 Q3</c:v>
                </c:pt>
                <c:pt idx="7">
                  <c:v>2016 Q4</c:v>
                </c:pt>
                <c:pt idx="8">
                  <c:v>2017 Q1</c:v>
                </c:pt>
                <c:pt idx="9">
                  <c:v>2017 Q2</c:v>
                </c:pt>
                <c:pt idx="10">
                  <c:v>2017 Q3</c:v>
                </c:pt>
                <c:pt idx="11">
                  <c:v>2017 Q4</c:v>
                </c:pt>
                <c:pt idx="12">
                  <c:v>2018 Q1</c:v>
                </c:pt>
                <c:pt idx="13">
                  <c:v>2018 Q2</c:v>
                </c:pt>
                <c:pt idx="14">
                  <c:v>2018 Q3</c:v>
                </c:pt>
                <c:pt idx="15">
                  <c:v>2018 Q4</c:v>
                </c:pt>
                <c:pt idx="16">
                  <c:v>2019 Q1</c:v>
                </c:pt>
                <c:pt idx="17">
                  <c:v>2019 Q2</c:v>
                </c:pt>
                <c:pt idx="18">
                  <c:v>2019 Q3</c:v>
                </c:pt>
                <c:pt idx="19">
                  <c:v>2019 Q4</c:v>
                </c:pt>
                <c:pt idx="20">
                  <c:v>2020 Q1</c:v>
                </c:pt>
                <c:pt idx="21">
                  <c:v>2020 Q2</c:v>
                </c:pt>
                <c:pt idx="22">
                  <c:v>2020 Q3</c:v>
                </c:pt>
                <c:pt idx="23">
                  <c:v>2020 Q4</c:v>
                </c:pt>
                <c:pt idx="24">
                  <c:v>2021 Q1</c:v>
                </c:pt>
                <c:pt idx="25">
                  <c:v>2021 Q2</c:v>
                </c:pt>
                <c:pt idx="26">
                  <c:v>2021 Q3</c:v>
                </c:pt>
                <c:pt idx="27">
                  <c:v>2021 Q4</c:v>
                </c:pt>
                <c:pt idx="28">
                  <c:v>2022 Q1</c:v>
                </c:pt>
                <c:pt idx="29">
                  <c:v>2022 Q2</c:v>
                </c:pt>
                <c:pt idx="30">
                  <c:v>2022 Q3</c:v>
                </c:pt>
                <c:pt idx="31">
                  <c:v>2022 Q4</c:v>
                </c:pt>
                <c:pt idx="32">
                  <c:v>2023 Q1</c:v>
                </c:pt>
                <c:pt idx="33">
                  <c:v>2023 Q2</c:v>
                </c:pt>
                <c:pt idx="34">
                  <c:v>2023 Q3</c:v>
                </c:pt>
                <c:pt idx="35">
                  <c:v>2023 Q4</c:v>
                </c:pt>
                <c:pt idx="36">
                  <c:v>2024 Q1</c:v>
                </c:pt>
                <c:pt idx="37">
                  <c:v>2024 Q2</c:v>
                </c:pt>
                <c:pt idx="38">
                  <c:v>2024 Q3</c:v>
                </c:pt>
                <c:pt idx="39">
                  <c:v>2024 Q4</c:v>
                </c:pt>
                <c:pt idx="40">
                  <c:v>2025 Q1</c:v>
                </c:pt>
                <c:pt idx="41">
                  <c:v>2025 Q2</c:v>
                </c:pt>
                <c:pt idx="42">
                  <c:v>2025 Q3</c:v>
                </c:pt>
                <c:pt idx="43">
                  <c:v>2025 Q4</c:v>
                </c:pt>
                <c:pt idx="44">
                  <c:v>2026 Q1</c:v>
                </c:pt>
                <c:pt idx="45">
                  <c:v>2026 Q2</c:v>
                </c:pt>
              </c:strCache>
            </c:strRef>
          </c:cat>
          <c:val>
            <c:numRef>
              <c:f>Calc!$R$2:$R$47</c:f>
              <c:numCache>
                <c:formatCode>General</c:formatCode>
                <c:ptCount val="46"/>
                <c:pt idx="0">
                  <c:v>219.68</c:v>
                </c:pt>
                <c:pt idx="1">
                  <c:v>220.63</c:v>
                </c:pt>
                <c:pt idx="2">
                  <c:v>221.96</c:v>
                </c:pt>
                <c:pt idx="3">
                  <c:v>224.43</c:v>
                </c:pt>
                <c:pt idx="4">
                  <c:v>226.61</c:v>
                </c:pt>
                <c:pt idx="5">
                  <c:v>228.25</c:v>
                </c:pt>
                <c:pt idx="6">
                  <c:v>230.76</c:v>
                </c:pt>
                <c:pt idx="7">
                  <c:v>232.67</c:v>
                </c:pt>
                <c:pt idx="8">
                  <c:v>234.11</c:v>
                </c:pt>
                <c:pt idx="9">
                  <c:v>237.65</c:v>
                </c:pt>
                <c:pt idx="10">
                  <c:v>240.19</c:v>
                </c:pt>
                <c:pt idx="11">
                  <c:v>242.07</c:v>
                </c:pt>
                <c:pt idx="12">
                  <c:v>247.09</c:v>
                </c:pt>
                <c:pt idx="13">
                  <c:v>247.58</c:v>
                </c:pt>
                <c:pt idx="14">
                  <c:v>250.35</c:v>
                </c:pt>
                <c:pt idx="15">
                  <c:v>252.98</c:v>
                </c:pt>
                <c:pt idx="16">
                  <c:v>255.15</c:v>
                </c:pt>
                <c:pt idx="17">
                  <c:v>258.98</c:v>
                </c:pt>
                <c:pt idx="18">
                  <c:v>262.66</c:v>
                </c:pt>
                <c:pt idx="19">
                  <c:v>266.58</c:v>
                </c:pt>
                <c:pt idx="20">
                  <c:v>272.54</c:v>
                </c:pt>
                <c:pt idx="21">
                  <c:v>270.65</c:v>
                </c:pt>
                <c:pt idx="22">
                  <c:v>283.02</c:v>
                </c:pt>
                <c:pt idx="23">
                  <c:v>294.95</c:v>
                </c:pt>
                <c:pt idx="24">
                  <c:v>303.42</c:v>
                </c:pt>
                <c:pt idx="25">
                  <c:v>314.18</c:v>
                </c:pt>
                <c:pt idx="26">
                  <c:v>325.31</c:v>
                </c:pt>
                <c:pt idx="27">
                  <c:v>334.88</c:v>
                </c:pt>
                <c:pt idx="28">
                  <c:v>348.75</c:v>
                </c:pt>
                <c:pt idx="29">
                  <c:v>356.95</c:v>
                </c:pt>
                <c:pt idx="30">
                  <c:v>358.35</c:v>
                </c:pt>
                <c:pt idx="31">
                  <c:v>362.94</c:v>
                </c:pt>
                <c:pt idx="32">
                  <c:v>368.55</c:v>
                </c:pt>
                <c:pt idx="33">
                  <c:v>374.55</c:v>
                </c:pt>
                <c:pt idx="34">
                  <c:v>383.48</c:v>
                </c:pt>
                <c:pt idx="35">
                  <c:v>389.05</c:v>
                </c:pt>
                <c:pt idx="36">
                  <c:v>392.23</c:v>
                </c:pt>
                <c:pt idx="37">
                  <c:v>402.12</c:v>
                </c:pt>
                <c:pt idx="38">
                  <c:v>406.94</c:v>
                </c:pt>
                <c:pt idx="39">
                  <c:v>411.87</c:v>
                </c:pt>
                <c:pt idx="40">
                  <c:v>419.57</c:v>
                </c:pt>
                <c:pt idx="41">
                  <c:v>418.39</c:v>
                </c:pt>
                <c:pt idx="42">
                  <c:v>422.76</c:v>
                </c:pt>
                <c:pt idx="43">
                  <c:v>427.3</c:v>
                </c:pt>
                <c:pt idx="44">
                  <c:v>429.82</c:v>
                </c:pt>
                <c:pt idx="45">
                  <c:v>431.35</c:v>
                </c:pt>
              </c:numCache>
            </c:numRef>
          </c:val>
        </c:ser>
        <c:ser>
          <c:idx val="1"/>
          <c:order val="1"/>
          <c:tx>
            <c:v>U.S.</c:v>
          </c:tx>
          <c:spPr>
            <a:ln w="28575">
              <a:solidFill>
                <a:srgbClr val="E69F00"/>
              </a:solidFill>
              <a:prstDash val="dash"/>
            </a:ln>
          </c:spPr>
          <c:marker>
            <c:symbol val="none"/>
          </c:marker>
          <c:cat>
            <c:strRef>
              <c:f>Calc!$P$2:$P$47</c:f>
              <c:strCache>
                <c:ptCount val="46"/>
                <c:pt idx="0">
                  <c:v>2015 Q1</c:v>
                </c:pt>
                <c:pt idx="1">
                  <c:v>2015 Q2</c:v>
                </c:pt>
                <c:pt idx="2">
                  <c:v>2015 Q3</c:v>
                </c:pt>
                <c:pt idx="3">
                  <c:v>2015 Q4</c:v>
                </c:pt>
                <c:pt idx="4">
                  <c:v>2016 Q1</c:v>
                </c:pt>
                <c:pt idx="5">
                  <c:v>2016 Q2</c:v>
                </c:pt>
                <c:pt idx="6">
                  <c:v>2016 Q3</c:v>
                </c:pt>
                <c:pt idx="7">
                  <c:v>2016 Q4</c:v>
                </c:pt>
                <c:pt idx="8">
                  <c:v>2017 Q1</c:v>
                </c:pt>
                <c:pt idx="9">
                  <c:v>2017 Q2</c:v>
                </c:pt>
                <c:pt idx="10">
                  <c:v>2017 Q3</c:v>
                </c:pt>
                <c:pt idx="11">
                  <c:v>2017 Q4</c:v>
                </c:pt>
                <c:pt idx="12">
                  <c:v>2018 Q1</c:v>
                </c:pt>
                <c:pt idx="13">
                  <c:v>2018 Q2</c:v>
                </c:pt>
                <c:pt idx="14">
                  <c:v>2018 Q3</c:v>
                </c:pt>
                <c:pt idx="15">
                  <c:v>2018 Q4</c:v>
                </c:pt>
                <c:pt idx="16">
                  <c:v>2019 Q1</c:v>
                </c:pt>
                <c:pt idx="17">
                  <c:v>2019 Q2</c:v>
                </c:pt>
                <c:pt idx="18">
                  <c:v>2019 Q3</c:v>
                </c:pt>
                <c:pt idx="19">
                  <c:v>2019 Q4</c:v>
                </c:pt>
                <c:pt idx="20">
                  <c:v>2020 Q1</c:v>
                </c:pt>
                <c:pt idx="21">
                  <c:v>2020 Q2</c:v>
                </c:pt>
                <c:pt idx="22">
                  <c:v>2020 Q3</c:v>
                </c:pt>
                <c:pt idx="23">
                  <c:v>2020 Q4</c:v>
                </c:pt>
                <c:pt idx="24">
                  <c:v>2021 Q1</c:v>
                </c:pt>
                <c:pt idx="25">
                  <c:v>2021 Q2</c:v>
                </c:pt>
                <c:pt idx="26">
                  <c:v>2021 Q3</c:v>
                </c:pt>
                <c:pt idx="27">
                  <c:v>2021 Q4</c:v>
                </c:pt>
                <c:pt idx="28">
                  <c:v>2022 Q1</c:v>
                </c:pt>
                <c:pt idx="29">
                  <c:v>2022 Q2</c:v>
                </c:pt>
                <c:pt idx="30">
                  <c:v>2022 Q3</c:v>
                </c:pt>
                <c:pt idx="31">
                  <c:v>2022 Q4</c:v>
                </c:pt>
                <c:pt idx="32">
                  <c:v>2023 Q1</c:v>
                </c:pt>
                <c:pt idx="33">
                  <c:v>2023 Q2</c:v>
                </c:pt>
                <c:pt idx="34">
                  <c:v>2023 Q3</c:v>
                </c:pt>
                <c:pt idx="35">
                  <c:v>2023 Q4</c:v>
                </c:pt>
                <c:pt idx="36">
                  <c:v>2024 Q1</c:v>
                </c:pt>
                <c:pt idx="37">
                  <c:v>2024 Q2</c:v>
                </c:pt>
                <c:pt idx="38">
                  <c:v>2024 Q3</c:v>
                </c:pt>
                <c:pt idx="39">
                  <c:v>2024 Q4</c:v>
                </c:pt>
                <c:pt idx="40">
                  <c:v>2025 Q1</c:v>
                </c:pt>
                <c:pt idx="41">
                  <c:v>2025 Q2</c:v>
                </c:pt>
                <c:pt idx="42">
                  <c:v>2025 Q3</c:v>
                </c:pt>
                <c:pt idx="43">
                  <c:v>2025 Q4</c:v>
                </c:pt>
                <c:pt idx="44">
                  <c:v>2026 Q1</c:v>
                </c:pt>
                <c:pt idx="45">
                  <c:v>2026 Q2</c:v>
                </c:pt>
              </c:strCache>
            </c:strRef>
          </c:cat>
          <c:val>
            <c:numRef>
              <c:f>Calc!$Q$2:$Q$47</c:f>
              <c:numCache>
                <c:formatCode>General</c:formatCode>
                <c:ptCount val="46"/>
                <c:pt idx="0">
                  <c:v>209</c:v>
                </c:pt>
                <c:pt idx="1">
                  <c:v>211.68</c:v>
                </c:pt>
                <c:pt idx="2">
                  <c:v>214.25</c:v>
                </c:pt>
                <c:pt idx="3">
                  <c:v>217.28</c:v>
                </c:pt>
                <c:pt idx="4">
                  <c:v>219.95</c:v>
                </c:pt>
                <c:pt idx="5">
                  <c:v>223.11</c:v>
                </c:pt>
                <c:pt idx="6">
                  <c:v>226.44</c:v>
                </c:pt>
                <c:pt idx="7">
                  <c:v>229.93</c:v>
                </c:pt>
                <c:pt idx="8">
                  <c:v>232.89</c:v>
                </c:pt>
                <c:pt idx="9">
                  <c:v>236.86</c:v>
                </c:pt>
                <c:pt idx="10">
                  <c:v>240.44</c:v>
                </c:pt>
                <c:pt idx="11">
                  <c:v>244.09</c:v>
                </c:pt>
                <c:pt idx="12">
                  <c:v>248.57</c:v>
                </c:pt>
                <c:pt idx="13">
                  <c:v>251.42</c:v>
                </c:pt>
                <c:pt idx="14">
                  <c:v>254.62</c:v>
                </c:pt>
                <c:pt idx="15">
                  <c:v>257.39</c:v>
                </c:pt>
                <c:pt idx="16">
                  <c:v>260.51</c:v>
                </c:pt>
                <c:pt idx="17">
                  <c:v>263.54</c:v>
                </c:pt>
                <c:pt idx="18">
                  <c:v>267</c:v>
                </c:pt>
                <c:pt idx="19">
                  <c:v>271.47</c:v>
                </c:pt>
                <c:pt idx="20">
                  <c:v>276.66</c:v>
                </c:pt>
                <c:pt idx="21">
                  <c:v>278.3</c:v>
                </c:pt>
                <c:pt idx="22">
                  <c:v>288.78</c:v>
                </c:pt>
                <c:pt idx="23">
                  <c:v>301.66</c:v>
                </c:pt>
                <c:pt idx="24">
                  <c:v>312.53</c:v>
                </c:pt>
                <c:pt idx="25">
                  <c:v>326.58</c:v>
                </c:pt>
                <c:pt idx="26">
                  <c:v>341.25</c:v>
                </c:pt>
                <c:pt idx="27">
                  <c:v>354.13</c:v>
                </c:pt>
                <c:pt idx="28">
                  <c:v>369.14</c:v>
                </c:pt>
                <c:pt idx="29">
                  <c:v>380.82</c:v>
                </c:pt>
                <c:pt idx="30">
                  <c:v>380.39</c:v>
                </c:pt>
                <c:pt idx="31">
                  <c:v>381.31</c:v>
                </c:pt>
                <c:pt idx="32">
                  <c:v>384.24</c:v>
                </c:pt>
                <c:pt idx="33">
                  <c:v>391.53</c:v>
                </c:pt>
                <c:pt idx="34">
                  <c:v>400</c:v>
                </c:pt>
                <c:pt idx="35">
                  <c:v>404.65</c:v>
                </c:pt>
                <c:pt idx="36">
                  <c:v>408.9</c:v>
                </c:pt>
                <c:pt idx="37">
                  <c:v>413.84</c:v>
                </c:pt>
                <c:pt idx="38">
                  <c:v>417.79</c:v>
                </c:pt>
                <c:pt idx="39">
                  <c:v>423.13</c:v>
                </c:pt>
                <c:pt idx="40">
                  <c:v>426.19</c:v>
                </c:pt>
                <c:pt idx="41">
                  <c:v>426.58</c:v>
                </c:pt>
                <c:pt idx="42">
                  <c:v>428.05</c:v>
                </c:pt>
                <c:pt idx="43">
                  <c:v>431.73</c:v>
                </c:pt>
                <c:pt idx="44">
                  <c:v>434.18</c:v>
                </c:pt>
                <c:pt idx="45">
                  <c:v>435.69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tickLblSkip val="4"/>
        <c:tickMarkSkip val="4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HPI (1991 Q1 = 100)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[housing-market-analysis.xlsx]Pivot!ptRegionYear</c:name>
    <c:fmtId val="0"/>
  </c:pivotSource>
  <c:chart>
    <c:title>
      <c:tx>
        <c:rich>
          <a:bodyPr/>
          <a:lstStyle/>
          <a:p>
            <a:pPr>
              <a:defRPr sz="1300" baseline="0"/>
            </a:pPr>
            <a:r>
              <a:rPr lang="en-US" sz="1300" baseline="0"/>
              <a:t>Loans originated (bars) and average loan size (diamonds) by region, 2018-2025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Pivot!$B$4:$B$5</c:f>
              <c:strCache>
                <c:ptCount val="2"/>
                <c:pt idx="0">
                  <c:v>Loans (count)</c:v>
                </c:pt>
                <c:pt idx="1">
                  <c:v>2018</c:v>
                </c:pt>
              </c:strCache>
            </c:strRef>
          </c:tx>
          <c:spPr>
            <a:solidFill>
              <a:srgbClr val="440154"/>
            </a:solidFill>
            <a:ln w="6350">
              <a:solidFill>
                <a:srgbClr val="333333"/>
              </a:solidFill>
            </a:ln>
          </c:spP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Pivot!$B$6:$B$9</c:f>
              <c:numCache>
                <c:formatCode>General</c:formatCode>
                <c:ptCount val="4"/>
                <c:pt idx="0">
                  <c:v>1426742</c:v>
                </c:pt>
                <c:pt idx="1">
                  <c:v>933635</c:v>
                </c:pt>
                <c:pt idx="2">
                  <c:v>2505602</c:v>
                </c:pt>
                <c:pt idx="3">
                  <c:v>1766599</c:v>
                </c:pt>
              </c:numCache>
            </c:numRef>
          </c:val>
        </c:ser>
        <c:ser>
          <c:idx val="1"/>
          <c:order val="1"/>
          <c:tx>
            <c:strRef>
              <c:f>Pivot!$C$4:$C$5</c:f>
              <c:strCache>
                <c:ptCount val="2"/>
                <c:pt idx="1">
                  <c:v>2019</c:v>
                </c:pt>
              </c:strCache>
            </c:strRef>
          </c:tx>
          <c:spPr>
            <a:solidFill>
              <a:srgbClr val="46327E"/>
            </a:solidFill>
            <a:ln w="6350">
              <a:solidFill>
                <a:srgbClr val="333333"/>
              </a:solidFill>
            </a:ln>
          </c:spP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Pivot!$C$6:$C$9</c:f>
              <c:numCache>
                <c:formatCode>General</c:formatCode>
                <c:ptCount val="4"/>
                <c:pt idx="0">
                  <c:v>1730055</c:v>
                </c:pt>
                <c:pt idx="1">
                  <c:v>1110121</c:v>
                </c:pt>
                <c:pt idx="2">
                  <c:v>3005961</c:v>
                </c:pt>
                <c:pt idx="3">
                  <c:v>2438576</c:v>
                </c:pt>
              </c:numCache>
            </c:numRef>
          </c:val>
        </c:ser>
        <c:ser>
          <c:idx val="2"/>
          <c:order val="2"/>
          <c:tx>
            <c:strRef>
              <c:f>Pivot!$D$4:$D$5</c:f>
              <c:strCache>
                <c:ptCount val="2"/>
                <c:pt idx="1">
                  <c:v>2020</c:v>
                </c:pt>
              </c:strCache>
            </c:strRef>
          </c:tx>
          <c:spPr>
            <a:solidFill>
              <a:srgbClr val="365C8D"/>
            </a:solidFill>
            <a:ln w="6350">
              <a:solidFill>
                <a:srgbClr val="333333"/>
              </a:solidFill>
            </a:ln>
          </c:spP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Pivot!$D$6:$D$9</c:f>
              <c:numCache>
                <c:formatCode>General</c:formatCode>
                <c:ptCount val="4"/>
                <c:pt idx="0">
                  <c:v>2863346</c:v>
                </c:pt>
                <c:pt idx="1">
                  <c:v>1766374</c:v>
                </c:pt>
                <c:pt idx="2">
                  <c:v>4860924</c:v>
                </c:pt>
                <c:pt idx="3">
                  <c:v>4278858</c:v>
                </c:pt>
              </c:numCache>
            </c:numRef>
          </c:val>
        </c:ser>
        <c:ser>
          <c:idx val="3"/>
          <c:order val="3"/>
          <c:tx>
            <c:strRef>
              <c:f>Pivot!$E$4:$E$5</c:f>
              <c:strCache>
                <c:ptCount val="2"/>
                <c:pt idx="1">
                  <c:v>2021</c:v>
                </c:pt>
              </c:strCache>
            </c:strRef>
          </c:tx>
          <c:spPr>
            <a:solidFill>
              <a:srgbClr val="277F8E"/>
            </a:solidFill>
            <a:ln w="6350">
              <a:solidFill>
                <a:srgbClr val="333333"/>
              </a:solidFill>
            </a:ln>
          </c:spP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Pivot!$E$6:$E$9</c:f>
              <c:numCache>
                <c:formatCode>General</c:formatCode>
                <c:ptCount val="4"/>
                <c:pt idx="0">
                  <c:v>2825134</c:v>
                </c:pt>
                <c:pt idx="1">
                  <c:v>1915895</c:v>
                </c:pt>
                <c:pt idx="2">
                  <c:v>5162525</c:v>
                </c:pt>
                <c:pt idx="3">
                  <c:v>4180730</c:v>
                </c:pt>
              </c:numCache>
            </c:numRef>
          </c:val>
        </c:ser>
        <c:ser>
          <c:idx val="4"/>
          <c:order val="4"/>
          <c:tx>
            <c:strRef>
              <c:f>Pivot!$F$4:$F$5</c:f>
              <c:strCache>
                <c:ptCount val="2"/>
                <c:pt idx="1">
                  <c:v>2022</c:v>
                </c:pt>
              </c:strCache>
            </c:strRef>
          </c:tx>
          <c:spPr>
            <a:solidFill>
              <a:srgbClr val="1FA187"/>
            </a:solidFill>
            <a:ln w="6350">
              <a:solidFill>
                <a:srgbClr val="333333"/>
              </a:solidFill>
            </a:ln>
          </c:spP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Pivot!$F$6:$F$9</c:f>
              <c:numCache>
                <c:formatCode>General</c:formatCode>
                <c:ptCount val="4"/>
                <c:pt idx="0">
                  <c:v>1458566</c:v>
                </c:pt>
                <c:pt idx="1">
                  <c:v>978278</c:v>
                </c:pt>
                <c:pt idx="2">
                  <c:v>2887047</c:v>
                </c:pt>
                <c:pt idx="3">
                  <c:v>1670588</c:v>
                </c:pt>
              </c:numCache>
            </c:numRef>
          </c:val>
        </c:ser>
        <c:ser>
          <c:idx val="5"/>
          <c:order val="5"/>
          <c:tx>
            <c:strRef>
              <c:f>Pivot!$G$4:$G$5</c:f>
              <c:strCache>
                <c:ptCount val="2"/>
                <c:pt idx="1">
                  <c:v>2023</c:v>
                </c:pt>
              </c:strCache>
            </c:strRef>
          </c:tx>
          <c:spPr>
            <a:solidFill>
              <a:srgbClr val="4AC16D"/>
            </a:solidFill>
            <a:ln w="6350">
              <a:solidFill>
                <a:srgbClr val="333333"/>
              </a:solidFill>
            </a:ln>
          </c:spP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Pivot!$G$6:$G$9</c:f>
              <c:numCache>
                <c:formatCode>General</c:formatCode>
                <c:ptCount val="4"/>
                <c:pt idx="0">
                  <c:v>999757</c:v>
                </c:pt>
                <c:pt idx="1">
                  <c:v>619449</c:v>
                </c:pt>
                <c:pt idx="2">
                  <c:v>1984330</c:v>
                </c:pt>
                <c:pt idx="3">
                  <c:v>916652</c:v>
                </c:pt>
              </c:numCache>
            </c:numRef>
          </c:val>
        </c:ser>
        <c:ser>
          <c:idx val="6"/>
          <c:order val="6"/>
          <c:tx>
            <c:strRef>
              <c:f>Pivot!$H$4:$H$5</c:f>
              <c:strCache>
                <c:ptCount val="2"/>
                <c:pt idx="1">
                  <c:v>2024</c:v>
                </c:pt>
              </c:strCache>
            </c:strRef>
          </c:tx>
          <c:spPr>
            <a:solidFill>
              <a:srgbClr val="A0DA39"/>
            </a:solidFill>
            <a:ln w="6350">
              <a:solidFill>
                <a:srgbClr val="333333"/>
              </a:solidFill>
            </a:ln>
          </c:spP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Pivot!$H$6:$H$9</c:f>
              <c:numCache>
                <c:formatCode>General</c:formatCode>
                <c:ptCount val="4"/>
                <c:pt idx="0">
                  <c:v>1106374</c:v>
                </c:pt>
                <c:pt idx="1">
                  <c:v>671115</c:v>
                </c:pt>
                <c:pt idx="2">
                  <c:v>2140206</c:v>
                </c:pt>
                <c:pt idx="3">
                  <c:v>1068010</c:v>
                </c:pt>
              </c:numCache>
            </c:numRef>
          </c:val>
        </c:ser>
        <c:ser>
          <c:idx val="7"/>
          <c:order val="7"/>
          <c:tx>
            <c:strRef>
              <c:f>Pivot!$I$4:$I$5</c:f>
              <c:strCache>
                <c:ptCount val="2"/>
                <c:pt idx="1">
                  <c:v>2025</c:v>
                </c:pt>
              </c:strCache>
            </c:strRef>
          </c:tx>
          <c:spPr>
            <a:solidFill>
              <a:srgbClr val="FDE725"/>
            </a:solidFill>
            <a:ln w="6350">
              <a:solidFill>
                <a:srgbClr val="333333"/>
              </a:solidFill>
            </a:ln>
          </c:spP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Pivot!$I$6:$I$9</c:f>
              <c:numCache>
                <c:formatCode>General</c:formatCode>
                <c:ptCount val="4"/>
                <c:pt idx="0">
                  <c:v>1248891</c:v>
                </c:pt>
                <c:pt idx="1">
                  <c:v>766890</c:v>
                </c:pt>
                <c:pt idx="2">
                  <c:v>2330693</c:v>
                </c:pt>
                <c:pt idx="3">
                  <c:v>1222236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8"/>
          <c:order val="8"/>
          <c:tx>
            <c:strRef>
              <c:f>Pivot!$J$4:$J$5</c:f>
              <c:strCache>
                <c:ptCount val="2"/>
                <c:pt idx="0">
                  <c:v>Average loan size</c:v>
                </c:pt>
                <c:pt idx="1">
                  <c:v>2018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440154"/>
              </a:solidFill>
              <a:ln>
                <a:solidFill>
                  <a:srgbClr val="333333"/>
                </a:solidFill>
              </a:ln>
            </c:spPr>
          </c:marke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Pivot!$J$6:$J$9</c:f>
              <c:numCache>
                <c:formatCode>General</c:formatCode>
                <c:ptCount val="4"/>
                <c:pt idx="0">
                  <c:v>196729.9203359823</c:v>
                </c:pt>
                <c:pt idx="1">
                  <c:v>323474.6394468931</c:v>
                </c:pt>
                <c:pt idx="2">
                  <c:v>246357.1588783853</c:v>
                </c:pt>
                <c:pt idx="3">
                  <c:v>374506.4924184832</c:v>
                </c:pt>
              </c:numCache>
            </c:numRef>
          </c:val>
        </c:ser>
        <c:ser>
          <c:idx val="9"/>
          <c:order val="9"/>
          <c:tx>
            <c:strRef>
              <c:f>Pivot!$K$4:$K$5</c:f>
              <c:strCache>
                <c:ptCount val="2"/>
                <c:pt idx="1">
                  <c:v>2019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46327E"/>
              </a:solidFill>
              <a:ln>
                <a:solidFill>
                  <a:srgbClr val="333333"/>
                </a:solidFill>
              </a:ln>
            </c:spPr>
          </c:marke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Pivot!$K$6:$K$9</c:f>
              <c:numCache>
                <c:formatCode>General</c:formatCode>
                <c:ptCount val="4"/>
                <c:pt idx="0">
                  <c:v>214206.3489311033</c:v>
                </c:pt>
                <c:pt idx="1">
                  <c:v>349444.9929332028</c:v>
                </c:pt>
                <c:pt idx="2">
                  <c:v>264180.4950230559</c:v>
                </c:pt>
                <c:pt idx="3">
                  <c:v>401752.613000374</c:v>
                </c:pt>
              </c:numCache>
            </c:numRef>
          </c:val>
        </c:ser>
        <c:ser>
          <c:idx val="10"/>
          <c:order val="10"/>
          <c:tx>
            <c:strRef>
              <c:f>Pivot!$L$4:$L$5</c:f>
              <c:strCache>
                <c:ptCount val="2"/>
                <c:pt idx="1">
                  <c:v>2020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365C8D"/>
              </a:solidFill>
              <a:ln>
                <a:solidFill>
                  <a:srgbClr val="333333"/>
                </a:solidFill>
              </a:ln>
            </c:spPr>
          </c:marke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Pivot!$L$6:$L$9</c:f>
              <c:numCache>
                <c:formatCode>General</c:formatCode>
                <c:ptCount val="4"/>
                <c:pt idx="0">
                  <c:v>224584.9506137226</c:v>
                </c:pt>
                <c:pt idx="1">
                  <c:v>344370.4617481915</c:v>
                </c:pt>
                <c:pt idx="2">
                  <c:v>275635.56023505</c:v>
                </c:pt>
                <c:pt idx="3">
                  <c:v>388385.3472118028</c:v>
                </c:pt>
              </c:numCache>
            </c:numRef>
          </c:val>
        </c:ser>
        <c:ser>
          <c:idx val="11"/>
          <c:order val="11"/>
          <c:tx>
            <c:strRef>
              <c:f>Pivot!$M$4:$M$5</c:f>
              <c:strCache>
                <c:ptCount val="2"/>
                <c:pt idx="1">
                  <c:v>2021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277F8E"/>
              </a:solidFill>
              <a:ln>
                <a:solidFill>
                  <a:srgbClr val="333333"/>
                </a:solidFill>
              </a:ln>
            </c:spPr>
          </c:marke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Pivot!$M$6:$M$9</c:f>
              <c:numCache>
                <c:formatCode>General</c:formatCode>
                <c:ptCount val="4"/>
                <c:pt idx="0">
                  <c:v>228750.6751892123</c:v>
                </c:pt>
                <c:pt idx="1">
                  <c:v>359118.2684854859</c:v>
                </c:pt>
                <c:pt idx="2">
                  <c:v>290291.7128730611</c:v>
                </c:pt>
                <c:pt idx="3">
                  <c:v>426884.6588992832</c:v>
                </c:pt>
              </c:numCache>
            </c:numRef>
          </c:val>
        </c:ser>
        <c:ser>
          <c:idx val="12"/>
          <c:order val="12"/>
          <c:tx>
            <c:strRef>
              <c:f>Pivot!$N$4:$N$5</c:f>
              <c:strCache>
                <c:ptCount val="2"/>
                <c:pt idx="1">
                  <c:v>2022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1FA187"/>
              </a:solidFill>
              <a:ln>
                <a:solidFill>
                  <a:srgbClr val="333333"/>
                </a:solidFill>
              </a:ln>
            </c:spPr>
          </c:marke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Pivot!$N$6:$N$9</c:f>
              <c:numCache>
                <c:formatCode>General</c:formatCode>
                <c:ptCount val="4"/>
                <c:pt idx="0">
                  <c:v>255069.753442765</c:v>
                </c:pt>
                <c:pt idx="1">
                  <c:v>419369.2794890614</c:v>
                </c:pt>
                <c:pt idx="2">
                  <c:v>338104.2307243353</c:v>
                </c:pt>
                <c:pt idx="3">
                  <c:v>509611.7953678585</c:v>
                </c:pt>
              </c:numCache>
            </c:numRef>
          </c:val>
        </c:ser>
        <c:ser>
          <c:idx val="13"/>
          <c:order val="13"/>
          <c:tx>
            <c:strRef>
              <c:f>Pivot!$O$4:$O$5</c:f>
              <c:strCache>
                <c:ptCount val="2"/>
                <c:pt idx="1">
                  <c:v>2023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4AC16D"/>
              </a:solidFill>
              <a:ln>
                <a:solidFill>
                  <a:srgbClr val="333333"/>
                </a:solidFill>
              </a:ln>
            </c:spPr>
          </c:marke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Pivot!$O$6:$O$9</c:f>
              <c:numCache>
                <c:formatCode>General</c:formatCode>
                <c:ptCount val="4"/>
                <c:pt idx="0">
                  <c:v>255086.9411266938</c:v>
                </c:pt>
                <c:pt idx="1">
                  <c:v>392737.7960090339</c:v>
                </c:pt>
                <c:pt idx="2">
                  <c:v>333859.8469004651</c:v>
                </c:pt>
                <c:pt idx="3">
                  <c:v>499956.8320365853</c:v>
                </c:pt>
              </c:numCache>
            </c:numRef>
          </c:val>
        </c:ser>
        <c:ser>
          <c:idx val="14"/>
          <c:order val="14"/>
          <c:tx>
            <c:strRef>
              <c:f>Pivot!$P$4:$P$5</c:f>
              <c:strCache>
                <c:ptCount val="2"/>
                <c:pt idx="1">
                  <c:v>2024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A0DA39"/>
              </a:solidFill>
              <a:ln>
                <a:solidFill>
                  <a:srgbClr val="333333"/>
                </a:solidFill>
              </a:ln>
            </c:spPr>
          </c:marke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Pivot!$P$6:$P$9</c:f>
              <c:numCache>
                <c:formatCode>General</c:formatCode>
                <c:ptCount val="4"/>
                <c:pt idx="0">
                  <c:v>265744.4137335115</c:v>
                </c:pt>
                <c:pt idx="1">
                  <c:v>415569.5149117513</c:v>
                </c:pt>
                <c:pt idx="2">
                  <c:v>348042.3146183125</c:v>
                </c:pt>
                <c:pt idx="3">
                  <c:v>523120.3453151188</c:v>
                </c:pt>
              </c:numCache>
            </c:numRef>
          </c:val>
        </c:ser>
        <c:ser>
          <c:idx val="15"/>
          <c:order val="15"/>
          <c:tx>
            <c:strRef>
              <c:f>Pivot!$Q$4:$Q$5</c:f>
              <c:strCache>
                <c:ptCount val="2"/>
                <c:pt idx="1">
                  <c:v>2025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FDE725"/>
              </a:solidFill>
              <a:ln>
                <a:solidFill>
                  <a:srgbClr val="333333"/>
                </a:solidFill>
              </a:ln>
            </c:spPr>
          </c:marker>
          <c:cat>
            <c:strRef>
              <c:f>Pivot!$A$6:$A$9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Pivot!$Q$6:$Q$9</c:f>
              <c:numCache>
                <c:formatCode>General</c:formatCode>
                <c:ptCount val="4"/>
                <c:pt idx="0">
                  <c:v>291378.2667983035</c:v>
                </c:pt>
                <c:pt idx="1">
                  <c:v>451440.0631120499</c:v>
                </c:pt>
                <c:pt idx="2">
                  <c:v>359161.5691127059</c:v>
                </c:pt>
                <c:pt idx="3">
                  <c:v>544384.0305800189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 baseline="0"/>
                </a:pPr>
                <a:r>
                  <a:rPr lang="en-US" sz="1100" baseline="0"/>
                  <a:t>Census region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aseline="0"/>
                </a:pPr>
                <a:r>
                  <a:rPr lang="en-US" sz="1100" baseline="0"/>
                  <a:t>Loans originated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100" baseline="0"/>
                </a:pPr>
                <a:r>
                  <a:rPr lang="en-US" sz="1100" baseline="0"/>
                  <a:t>Average loan size ($)</a:t>
                </a:r>
              </a:p>
            </c:rich>
          </c:tx>
          <c:layout/>
        </c:title>
        <c:numFmt formatCode="$#,##0" sourceLinked="0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tickLblPos val="none"/>
        <c:crossAx val="6004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10</xdr:row>
      <xdr:rowOff>0</xdr:rowOff>
    </xdr:from>
    <xdr:to>
      <xdr:col>23</xdr:col>
      <xdr:colOff>142875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23</xdr:col>
      <xdr:colOff>142875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42</xdr:row>
      <xdr:rowOff>0</xdr:rowOff>
    </xdr:from>
    <xdr:to>
      <xdr:col>23</xdr:col>
      <xdr:colOff>142875</xdr:colOff>
      <xdr:row>57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12</xdr:col>
      <xdr:colOff>514350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build_workbook.py" refreshedDate="46312.5" createdVersion="6" refreshedVersion="6" minRefreshableVersion="3" recordCount="408">
  <cacheSource type="worksheet">
    <worksheetSource name="tblData"/>
  </cacheSource>
  <cacheFields count="16">
    <cacheField name="State code" numFmtId="0">
      <sharedItems/>
    </cacheField>
    <cacheField name="State" numFmtId="0">
      <sharedItems/>
    </cacheField>
    <cacheField name="Region" numFmtId="0">
      <sharedItems count="4">
        <s v="Midwest"/>
        <s v="Northeast"/>
        <s v="South"/>
        <s v="West"/>
      </sharedItems>
    </cacheField>
    <cacheField name="Division" numFmtId="0">
      <sharedItems/>
    </cacheField>
    <cacheField name="Year" numFmtId="0">
      <sharedItems containsSemiMixedTypes="0" containsString="0" containsNumber="1" containsInteger="1" minValue="2018" maxValue="2025" count="8">
        <n v="2018"/>
        <n v="2019"/>
        <n v="2020"/>
        <n v="2021"/>
        <n v="2022"/>
        <n v="2023"/>
        <n v="2024"/>
        <n v="2025"/>
      </sharedItems>
    </cacheField>
    <cacheField name="Purchase loans" numFmtId="0">
      <sharedItems containsSemiMixedTypes="0" containsString="0" containsNumber="1" containsInteger="1" minValue="5466" maxValue="487185"/>
    </cacheField>
    <cacheField name="Purchase volume" numFmtId="0">
      <sharedItems containsSemiMixedTypes="0" containsString="0" containsNumber="1" containsInteger="1" minValue="1599820000" maxValue="308964620000"/>
    </cacheField>
    <cacheField name="Refinance loans" numFmtId="0">
      <sharedItems containsSemiMixedTypes="0" containsString="0" containsNumber="1" containsInteger="1" minValue="340" maxValue="1113301"/>
    </cacheField>
    <cacheField name="Refinance volume" numFmtId="0">
      <sharedItems containsSemiMixedTypes="0" containsString="0" containsNumber="1" containsInteger="1" minValue="170250000" maxValue="503787755000"/>
    </cacheField>
    <cacheField name="Cash-out refi loans" numFmtId="0">
      <sharedItems containsSemiMixedTypes="0" containsString="0" containsNumber="1" containsInteger="1" minValue="815" maxValue="503475"/>
    </cacheField>
    <cacheField name="Cash-out refi volume" numFmtId="0">
      <sharedItems containsSemiMixedTypes="0" containsString="0" containsNumber="1" containsInteger="1" minValue="160880000" maxValue="232003655000"/>
    </cacheField>
    <cacheField name="Total loans" numFmtId="0">
      <sharedItems containsSemiMixedTypes="0" containsString="0" containsNumber="1" containsInteger="1" minValue="7280" maxValue="1893079"/>
    </cacheField>
    <cacheField name="Total dollar volume" numFmtId="0">
      <sharedItems containsSemiMixedTypes="0" containsString="0" containsNumber="1" containsInteger="1" minValue="2301480000" maxValue="979283015000"/>
    </cacheField>
    <cacheField name="Avg loan size" numFmtId="0">
      <sharedItems containsSemiMixedTypes="0" containsString="0" containsNumber="1" minValue="156592.91" maxValue="816172.96"/>
    </cacheField>
    <cacheField name="Q4 HPI YoY change" numFmtId="0">
      <sharedItems containsSemiMixedTypes="0" containsString="0" containsNumber="1" minValue="-0.041901" maxValue="0.275594"/>
    </cacheField>
    <cacheField name="Weighted loan size" numFmtId="0" formula="'Total dollar volume'/'Total loans'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8">
  <r>
    <s v="AL"/>
    <s v="Alabama"/>
    <x v="2"/>
    <s v="East South Central"/>
    <x v="0"/>
    <n v="64977"/>
    <n v="12441015000"/>
    <n v="15735"/>
    <n v="2968945000"/>
    <n v="12698"/>
    <n v="2121790000"/>
    <n v="93410"/>
    <n v="17531750000"/>
    <n v="187686.01"/>
    <n v="0.046723"/>
  </r>
  <r>
    <s v="AL"/>
    <s v="Alabama"/>
    <x v="2"/>
    <s v="East South Central"/>
    <x v="1"/>
    <n v="69028"/>
    <n v="14062010000"/>
    <n v="25121"/>
    <n v="5927115000"/>
    <n v="15137"/>
    <n v="2888135000"/>
    <n v="109286"/>
    <n v="22877260000"/>
    <n v="209333.86"/>
    <n v="0.065616"/>
  </r>
  <r>
    <s v="AL"/>
    <s v="Alabama"/>
    <x v="2"/>
    <s v="East South Central"/>
    <x v="2"/>
    <n v="80056"/>
    <n v="17433210000"/>
    <n v="72194"/>
    <n v="16409490000"/>
    <n v="21558"/>
    <n v="4653220000"/>
    <n v="173808"/>
    <n v="38495920000"/>
    <n v="221485.32"/>
    <n v="0.113352"/>
  </r>
  <r>
    <s v="AL"/>
    <s v="Alabama"/>
    <x v="2"/>
    <s v="East South Central"/>
    <x v="3"/>
    <n v="88540"/>
    <n v="21757490000"/>
    <n v="64466"/>
    <n v="14136150000"/>
    <n v="31624"/>
    <n v="6599270000"/>
    <n v="184630"/>
    <n v="42492910000"/>
    <n v="230151.71"/>
    <n v="0.170088"/>
  </r>
  <r>
    <s v="AL"/>
    <s v="Alabama"/>
    <x v="2"/>
    <s v="East South Central"/>
    <x v="4"/>
    <n v="73500"/>
    <n v="20324570000"/>
    <n v="16492"/>
    <n v="4012090000"/>
    <n v="21438"/>
    <n v="4454040000"/>
    <n v="111430"/>
    <n v="28790700000"/>
    <n v="258374.76"/>
    <n v="0.09743"/>
  </r>
  <r>
    <s v="AL"/>
    <s v="Alabama"/>
    <x v="2"/>
    <s v="East South Central"/>
    <x v="5"/>
    <n v="59342"/>
    <n v="15618320000"/>
    <n v="8991"/>
    <n v="2304845000"/>
    <n v="10776"/>
    <n v="2255870000"/>
    <n v="79109"/>
    <n v="20179035000"/>
    <n v="255078.88"/>
    <n v="0.041433"/>
  </r>
  <r>
    <s v="AL"/>
    <s v="Alabama"/>
    <x v="2"/>
    <s v="East South Central"/>
    <x v="6"/>
    <n v="61667"/>
    <n v="16085195000"/>
    <n v="13241"/>
    <n v="3568665000"/>
    <n v="12337"/>
    <n v="2500695000"/>
    <n v="87245"/>
    <n v="22154555000"/>
    <n v="253934.95"/>
    <n v="0.048609"/>
  </r>
  <r>
    <s v="AL"/>
    <s v="Alabama"/>
    <x v="2"/>
    <s v="East South Central"/>
    <x v="7"/>
    <n v="63509"/>
    <n v="17647305000"/>
    <n v="17724"/>
    <n v="5515480000"/>
    <n v="15370"/>
    <n v="3224830000"/>
    <n v="96603"/>
    <n v="26387615000"/>
    <n v="273155.23"/>
    <n v="0.024969"/>
  </r>
  <r>
    <s v="AK"/>
    <s v="Alaska"/>
    <x v="3"/>
    <s v="Pacific"/>
    <x v="0"/>
    <n v="8999"/>
    <n v="2604125000"/>
    <n v="1186"/>
    <n v="287780000"/>
    <n v="2122"/>
    <n v="481150000"/>
    <n v="12307"/>
    <n v="3373055000"/>
    <n v="274076.14"/>
    <n v="0.013034"/>
  </r>
  <r>
    <s v="AK"/>
    <s v="Alaska"/>
    <x v="3"/>
    <s v="Pacific"/>
    <x v="1"/>
    <n v="9226"/>
    <n v="2639130000"/>
    <n v="3135"/>
    <n v="929845000"/>
    <n v="2086"/>
    <n v="509440000"/>
    <n v="14447"/>
    <n v="4078415000"/>
    <n v="282301.86"/>
    <n v="0.040887"/>
  </r>
  <r>
    <s v="AK"/>
    <s v="Alaska"/>
    <x v="3"/>
    <s v="Pacific"/>
    <x v="2"/>
    <n v="10336"/>
    <n v="3157330000"/>
    <n v="11701"/>
    <n v="3422115000"/>
    <n v="3250"/>
    <n v="844870000"/>
    <n v="25287"/>
    <n v="7424315000"/>
    <n v="293602.05"/>
    <n v="0.085273"/>
  </r>
  <r>
    <s v="AK"/>
    <s v="Alaska"/>
    <x v="3"/>
    <s v="Pacific"/>
    <x v="3"/>
    <n v="11892"/>
    <n v="3938960000"/>
    <n v="11157"/>
    <n v="3116815000"/>
    <n v="3983"/>
    <n v="1056315000"/>
    <n v="27032"/>
    <n v="8112090000"/>
    <n v="300092.11"/>
    <n v="0.104741"/>
  </r>
  <r>
    <s v="AK"/>
    <s v="Alaska"/>
    <x v="3"/>
    <s v="Pacific"/>
    <x v="4"/>
    <n v="11546"/>
    <n v="4008430000"/>
    <n v="1720"/>
    <n v="489840000"/>
    <n v="2451"/>
    <n v="655565000"/>
    <n v="15717"/>
    <n v="5153835000"/>
    <n v="327914.68"/>
    <n v="0.055185"/>
  </r>
  <r>
    <s v="AK"/>
    <s v="Alaska"/>
    <x v="3"/>
    <s v="Pacific"/>
    <x v="5"/>
    <n v="7111"/>
    <n v="2574145000"/>
    <n v="340"/>
    <n v="170250000"/>
    <n v="891"/>
    <n v="208855000"/>
    <n v="8342"/>
    <n v="2953250000"/>
    <n v="354021.82"/>
    <n v="0.064347"/>
  </r>
  <r>
    <s v="AK"/>
    <s v="Alaska"/>
    <x v="3"/>
    <s v="Pacific"/>
    <x v="6"/>
    <n v="7145"/>
    <n v="2694165000"/>
    <n v="938"/>
    <n v="345690000"/>
    <n v="1165"/>
    <n v="267875000"/>
    <n v="9248"/>
    <n v="3307730000"/>
    <n v="357669.77"/>
    <n v="0.038606"/>
  </r>
  <r>
    <s v="AK"/>
    <s v="Alaska"/>
    <x v="3"/>
    <s v="Pacific"/>
    <x v="7"/>
    <n v="7564"/>
    <n v="2936050000"/>
    <n v="1201"/>
    <n v="541655000"/>
    <n v="1606"/>
    <n v="388220000"/>
    <n v="10371"/>
    <n v="3865925000"/>
    <n v="372762.99"/>
    <n v="0.045982"/>
  </r>
  <r>
    <s v="AZ"/>
    <s v="Arizona"/>
    <x v="3"/>
    <s v="Mountain"/>
    <x v="0"/>
    <n v="131944"/>
    <n v="34593330000"/>
    <n v="26253"/>
    <n v="7673685000"/>
    <n v="37075"/>
    <n v="7905015000"/>
    <n v="195272"/>
    <n v="50172030000"/>
    <n v="256934.07"/>
    <n v="0.083673"/>
  </r>
  <r>
    <s v="AZ"/>
    <s v="Arizona"/>
    <x v="3"/>
    <s v="Mountain"/>
    <x v="1"/>
    <n v="139175"/>
    <n v="39437435000"/>
    <n v="80104"/>
    <n v="23638920000"/>
    <n v="53278"/>
    <n v="12557920000"/>
    <n v="272557"/>
    <n v="75634275000"/>
    <n v="277498.93"/>
    <n v="0.079201"/>
  </r>
  <r>
    <s v="AZ"/>
    <s v="Arizona"/>
    <x v="3"/>
    <s v="Mountain"/>
    <x v="2"/>
    <n v="152939"/>
    <n v="46590215000"/>
    <n v="236302"/>
    <n v="64054160000"/>
    <n v="78636"/>
    <n v="20186700000"/>
    <n v="467877"/>
    <n v="130831075000"/>
    <n v="279627.07"/>
    <n v="0.141687"/>
  </r>
  <r>
    <s v="AZ"/>
    <s v="Arizona"/>
    <x v="3"/>
    <s v="Mountain"/>
    <x v="3"/>
    <n v="152564"/>
    <n v="56035760000"/>
    <n v="175872"/>
    <n v="48472950000"/>
    <n v="132286"/>
    <n v="37818240000"/>
    <n v="460722"/>
    <n v="142326950000"/>
    <n v="308921.54"/>
    <n v="0.272187"/>
  </r>
  <r>
    <s v="AZ"/>
    <s v="Arizona"/>
    <x v="3"/>
    <s v="Mountain"/>
    <x v="4"/>
    <n v="117856"/>
    <n v="49091650000"/>
    <n v="24245"/>
    <n v="10110195000"/>
    <n v="63945"/>
    <n v="19970455000"/>
    <n v="206046"/>
    <n v="79172300000"/>
    <n v="384245.75"/>
    <n v="0.051615"/>
  </r>
  <r>
    <s v="AZ"/>
    <s v="Arizona"/>
    <x v="3"/>
    <s v="Mountain"/>
    <x v="5"/>
    <n v="91463"/>
    <n v="37001975000"/>
    <n v="7198"/>
    <n v="4080100000"/>
    <n v="19457"/>
    <n v="4820295000"/>
    <n v="118118"/>
    <n v="45902370000"/>
    <n v="388614.52"/>
    <n v="0.057833"/>
  </r>
  <r>
    <s v="AZ"/>
    <s v="Arizona"/>
    <x v="3"/>
    <s v="Mountain"/>
    <x v="6"/>
    <n v="93109"/>
    <n v="38699325000"/>
    <n v="17975"/>
    <n v="9797005000"/>
    <n v="22513"/>
    <n v="6309035000"/>
    <n v="133597"/>
    <n v="54805365000"/>
    <n v="410229.01"/>
    <n v="0.018212"/>
  </r>
  <r>
    <s v="AZ"/>
    <s v="Arizona"/>
    <x v="3"/>
    <s v="Mountain"/>
    <x v="7"/>
    <n v="95029"/>
    <n v="41062455000"/>
    <n v="27959"/>
    <n v="14902095000"/>
    <n v="27297"/>
    <n v="7699015000"/>
    <n v="150285"/>
    <n v="63663565000"/>
    <n v="423618.89"/>
    <n v="0.00777"/>
  </r>
  <r>
    <s v="AR"/>
    <s v="Arkansas"/>
    <x v="2"/>
    <s v="West South Central"/>
    <x v="0"/>
    <n v="39808"/>
    <n v="6807480000"/>
    <n v="9990"/>
    <n v="1624940000"/>
    <n v="6284"/>
    <n v="915300000"/>
    <n v="56082"/>
    <n v="9347720000"/>
    <n v="166679.51"/>
    <n v="0.033379"/>
  </r>
  <r>
    <s v="AR"/>
    <s v="Arkansas"/>
    <x v="2"/>
    <s v="West South Central"/>
    <x v="1"/>
    <n v="41480"/>
    <n v="7822380000"/>
    <n v="13604"/>
    <n v="2687330000"/>
    <n v="7115"/>
    <n v="1159735000"/>
    <n v="62199"/>
    <n v="11669445000"/>
    <n v="187614.67"/>
    <n v="0.039187"/>
  </r>
  <r>
    <s v="AR"/>
    <s v="Arkansas"/>
    <x v="2"/>
    <s v="West South Central"/>
    <x v="2"/>
    <n v="48156"/>
    <n v="9153090000"/>
    <n v="38384"/>
    <n v="8047850000"/>
    <n v="10521"/>
    <n v="2060135000"/>
    <n v="97061"/>
    <n v="19261075000"/>
    <n v="198442.99"/>
    <n v="0.108858"/>
  </r>
  <r>
    <s v="AR"/>
    <s v="Arkansas"/>
    <x v="2"/>
    <s v="West South Central"/>
    <x v="3"/>
    <n v="51261"/>
    <n v="11499605000"/>
    <n v="34456"/>
    <n v="7004680000"/>
    <n v="15342"/>
    <n v="2916540000"/>
    <n v="101059"/>
    <n v="21420825000"/>
    <n v="211963.56"/>
    <n v="0.185314"/>
  </r>
  <r>
    <s v="AR"/>
    <s v="Arkansas"/>
    <x v="2"/>
    <s v="West South Central"/>
    <x v="4"/>
    <n v="43376"/>
    <n v="11125510000"/>
    <n v="9447"/>
    <n v="2137585000"/>
    <n v="10003"/>
    <n v="1913715000"/>
    <n v="62826"/>
    <n v="15176810000"/>
    <n v="241568.94"/>
    <n v="0.093785"/>
  </r>
  <r>
    <s v="AR"/>
    <s v="Arkansas"/>
    <x v="2"/>
    <s v="West South Central"/>
    <x v="5"/>
    <n v="35721"/>
    <n v="8809925000"/>
    <n v="4589"/>
    <n v="1018855000"/>
    <n v="5004"/>
    <n v="919540000"/>
    <n v="45314"/>
    <n v="10748320000"/>
    <n v="237196.45"/>
    <n v="0.056389"/>
  </r>
  <r>
    <s v="AR"/>
    <s v="Arkansas"/>
    <x v="2"/>
    <s v="West South Central"/>
    <x v="6"/>
    <n v="36020"/>
    <n v="9219970000"/>
    <n v="7252"/>
    <n v="1838920000"/>
    <n v="5689"/>
    <n v="1036945000"/>
    <n v="48961"/>
    <n v="12095835000"/>
    <n v="247050.41"/>
    <n v="0.043951"/>
  </r>
  <r>
    <s v="AR"/>
    <s v="Arkansas"/>
    <x v="2"/>
    <s v="West South Central"/>
    <x v="7"/>
    <n v="38597"/>
    <n v="10329345000"/>
    <n v="10243"/>
    <n v="2890895000"/>
    <n v="7356"/>
    <n v="1489620000"/>
    <n v="56196"/>
    <n v="14709860000"/>
    <n v="261759.91"/>
    <n v="0.040333"/>
  </r>
  <r>
    <s v="CA"/>
    <s v="California"/>
    <x v="3"/>
    <s v="Pacific"/>
    <x v="0"/>
    <n v="383964"/>
    <n v="195673270000"/>
    <n v="136305"/>
    <n v="72616485000"/>
    <n v="204567"/>
    <n v="83386915000"/>
    <n v="724836"/>
    <n v="351676670000"/>
    <n v="485181.02"/>
    <n v="0.048003"/>
  </r>
  <r>
    <s v="CA"/>
    <s v="California"/>
    <x v="3"/>
    <s v="Pacific"/>
    <x v="1"/>
    <n v="391210"/>
    <n v="205888590000"/>
    <n v="386684"/>
    <n v="205170590000"/>
    <n v="262766"/>
    <n v="119234340000"/>
    <n v="1040660"/>
    <n v="530293520000"/>
    <n v="509574.23"/>
    <n v="0.044401"/>
  </r>
  <r>
    <s v="CA"/>
    <s v="California"/>
    <x v="3"/>
    <s v="Pacific"/>
    <x v="2"/>
    <n v="408138"/>
    <n v="225610110000"/>
    <n v="1113301"/>
    <n v="503787755000"/>
    <n v="371366"/>
    <n v="162546100000"/>
    <n v="1892805"/>
    <n v="891943965000"/>
    <n v="471228.66"/>
    <n v="0.115793"/>
  </r>
  <r>
    <s v="CA"/>
    <s v="California"/>
    <x v="3"/>
    <s v="Pacific"/>
    <x v="3"/>
    <n v="479040"/>
    <n v="308964620000"/>
    <n v="910564"/>
    <n v="438314740000"/>
    <n v="503475"/>
    <n v="232003655000"/>
    <n v="1893079"/>
    <n v="979283015000"/>
    <n v="517296.43"/>
    <n v="0.191342"/>
  </r>
  <r>
    <s v="CA"/>
    <s v="California"/>
    <x v="3"/>
    <s v="Pacific"/>
    <x v="4"/>
    <n v="351166"/>
    <n v="246860630000"/>
    <n v="115080"/>
    <n v="75792430000"/>
    <n v="201433"/>
    <n v="101735655000"/>
    <n v="667679"/>
    <n v="424388715000"/>
    <n v="635617.89"/>
    <n v="0.012414"/>
  </r>
  <r>
    <s v="CA"/>
    <s v="California"/>
    <x v="3"/>
    <s v="Pacific"/>
    <x v="5"/>
    <n v="245316"/>
    <n v="161742520000"/>
    <n v="29110"/>
    <n v="25869950000"/>
    <n v="61472"/>
    <n v="23742260000"/>
    <n v="335898"/>
    <n v="211354730000"/>
    <n v="629222.95"/>
    <n v="0.048409"/>
  </r>
  <r>
    <s v="CA"/>
    <s v="California"/>
    <x v="3"/>
    <s v="Pacific"/>
    <x v="6"/>
    <n v="261993"/>
    <n v="182895805000"/>
    <n v="62335"/>
    <n v="50129165000"/>
    <n v="81736"/>
    <n v="34927310000"/>
    <n v="406064"/>
    <n v="267952280000"/>
    <n v="659876.97"/>
    <n v="0.024759"/>
  </r>
  <r>
    <s v="CA"/>
    <s v="California"/>
    <x v="3"/>
    <s v="Pacific"/>
    <x v="7"/>
    <n v="257970"/>
    <n v="183349180000"/>
    <n v="101847"/>
    <n v="90618165000"/>
    <n v="104368"/>
    <n v="45387570000"/>
    <n v="464185"/>
    <n v="319354915000"/>
    <n v="687990.6"/>
    <n v="-0.00467"/>
  </r>
  <r>
    <s v="CO"/>
    <s v="Colorado"/>
    <x v="3"/>
    <s v="Mountain"/>
    <x v="0"/>
    <n v="115057"/>
    <n v="41576625000"/>
    <n v="27537"/>
    <n v="9095465000"/>
    <n v="49153"/>
    <n v="13195065000"/>
    <n v="191747"/>
    <n v="63867155000"/>
    <n v="333080.34"/>
    <n v="0.068277"/>
  </r>
  <r>
    <s v="CO"/>
    <s v="Colorado"/>
    <x v="3"/>
    <s v="Mountain"/>
    <x v="1"/>
    <n v="120698"/>
    <n v="44519760000"/>
    <n v="84408"/>
    <n v="31700140000"/>
    <n v="63248"/>
    <n v="19042170000"/>
    <n v="268354"/>
    <n v="95262070000"/>
    <n v="354986.58"/>
    <n v="0.061513"/>
  </r>
  <r>
    <s v="CO"/>
    <s v="Colorado"/>
    <x v="3"/>
    <s v="Mountain"/>
    <x v="2"/>
    <n v="131788"/>
    <n v="51908570000"/>
    <n v="235505"/>
    <n v="80015875000"/>
    <n v="83656"/>
    <n v="26745850000"/>
    <n v="450949"/>
    <n v="158670295000"/>
    <n v="351858.62"/>
    <n v="0.108056"/>
  </r>
  <r>
    <s v="CO"/>
    <s v="Colorado"/>
    <x v="3"/>
    <s v="Mountain"/>
    <x v="3"/>
    <n v="139440"/>
    <n v="64036130000"/>
    <n v="168786"/>
    <n v="58551120000"/>
    <n v="98923"/>
    <n v="33663845000"/>
    <n v="407149"/>
    <n v="156251095000"/>
    <n v="383768.83"/>
    <n v="0.180695"/>
  </r>
  <r>
    <s v="CO"/>
    <s v="Colorado"/>
    <x v="3"/>
    <s v="Mountain"/>
    <x v="4"/>
    <n v="106481"/>
    <n v="54550355000"/>
    <n v="24276"/>
    <n v="11006930000"/>
    <n v="41307"/>
    <n v="15407725000"/>
    <n v="172064"/>
    <n v="80965010000"/>
    <n v="470551.71"/>
    <n v="0.047234"/>
  </r>
  <r>
    <s v="CO"/>
    <s v="Colorado"/>
    <x v="3"/>
    <s v="Mountain"/>
    <x v="5"/>
    <n v="80278"/>
    <n v="39372200000"/>
    <n v="7542"/>
    <n v="4527680000"/>
    <n v="14214"/>
    <n v="4209580000"/>
    <n v="102034"/>
    <n v="48109460000"/>
    <n v="471504.2"/>
    <n v="0.030588"/>
  </r>
  <r>
    <s v="CO"/>
    <s v="Colorado"/>
    <x v="3"/>
    <s v="Mountain"/>
    <x v="6"/>
    <n v="79809"/>
    <n v="40048475000"/>
    <n v="15900"/>
    <n v="8906660000"/>
    <n v="17435"/>
    <n v="6257615000"/>
    <n v="113144"/>
    <n v="55212750000"/>
    <n v="487986.55"/>
    <n v="0.022227"/>
  </r>
  <r>
    <s v="CO"/>
    <s v="Colorado"/>
    <x v="3"/>
    <s v="Mountain"/>
    <x v="7"/>
    <n v="81568"/>
    <n v="41710330000"/>
    <n v="26449"/>
    <n v="15304735000"/>
    <n v="21559"/>
    <n v="6591865000"/>
    <n v="129576"/>
    <n v="63606930000"/>
    <n v="490885.12"/>
    <n v="-0.014876"/>
  </r>
  <r>
    <s v="CT"/>
    <s v="Connecticut"/>
    <x v="1"/>
    <s v="New England"/>
    <x v="0"/>
    <n v="41156"/>
    <n v="12661550000"/>
    <n v="12818"/>
    <n v="3928230000"/>
    <n v="8565"/>
    <n v="2249035000"/>
    <n v="62539"/>
    <n v="18838815000"/>
    <n v="301233.07"/>
    <n v="0.023047"/>
  </r>
  <r>
    <s v="CT"/>
    <s v="Connecticut"/>
    <x v="1"/>
    <s v="New England"/>
    <x v="1"/>
    <n v="41801"/>
    <n v="12533005000"/>
    <n v="20843"/>
    <n v="7156715000"/>
    <n v="10321"/>
    <n v="3047455000"/>
    <n v="72965"/>
    <n v="22737175000"/>
    <n v="311617.56"/>
    <n v="0.023353"/>
  </r>
  <r>
    <s v="CT"/>
    <s v="Connecticut"/>
    <x v="1"/>
    <s v="New England"/>
    <x v="2"/>
    <n v="51226"/>
    <n v="17105710000"/>
    <n v="58478"/>
    <n v="18650040000"/>
    <n v="15323"/>
    <n v="4678515000"/>
    <n v="125027"/>
    <n v="40434265000"/>
    <n v="323404.26"/>
    <n v="0.135135"/>
  </r>
  <r>
    <s v="CT"/>
    <s v="Connecticut"/>
    <x v="1"/>
    <s v="New England"/>
    <x v="3"/>
    <n v="56337"/>
    <n v="21843535000"/>
    <n v="60760"/>
    <n v="19247940000"/>
    <n v="26874"/>
    <n v="7964000000"/>
    <n v="143971"/>
    <n v="49055475000"/>
    <n v="340731.64"/>
    <n v="0.137121"/>
  </r>
  <r>
    <s v="CT"/>
    <s v="Connecticut"/>
    <x v="1"/>
    <s v="New England"/>
    <x v="4"/>
    <n v="44854"/>
    <n v="18040730000"/>
    <n v="13472"/>
    <n v="6068730000"/>
    <n v="14470"/>
    <n v="4518460000"/>
    <n v="72796"/>
    <n v="28627920000"/>
    <n v="393262.27"/>
    <n v="0.088174"/>
  </r>
  <r>
    <s v="CT"/>
    <s v="Connecticut"/>
    <x v="1"/>
    <s v="New England"/>
    <x v="5"/>
    <n v="35534"/>
    <n v="13355220000"/>
    <n v="5814"/>
    <n v="2360670000"/>
    <n v="6332"/>
    <n v="1825060000"/>
    <n v="47680"/>
    <n v="17540950000"/>
    <n v="367889.05"/>
    <n v="0.114507"/>
  </r>
  <r>
    <s v="CT"/>
    <s v="Connecticut"/>
    <x v="1"/>
    <s v="New England"/>
    <x v="6"/>
    <n v="35150"/>
    <n v="14112260000"/>
    <n v="7552"/>
    <n v="3073220000"/>
    <n v="8249"/>
    <n v="2308755000"/>
    <n v="50951"/>
    <n v="19494235000"/>
    <n v="382607.51"/>
    <n v="0.089085"/>
  </r>
  <r>
    <s v="CT"/>
    <s v="Connecticut"/>
    <x v="1"/>
    <s v="New England"/>
    <x v="7"/>
    <n v="35676"/>
    <n v="15680220000"/>
    <n v="10950"/>
    <n v="4801850000"/>
    <n v="11040"/>
    <n v="3655480000"/>
    <n v="57666"/>
    <n v="24137550000"/>
    <n v="418575.07"/>
    <n v="0.046341"/>
  </r>
  <r>
    <s v="DE"/>
    <s v="Delaware"/>
    <x v="2"/>
    <s v="South Atlantic"/>
    <x v="0"/>
    <n v="15503"/>
    <n v="3981675000"/>
    <n v="4077"/>
    <n v="1206965000"/>
    <n v="2935"/>
    <n v="590195000"/>
    <n v="22515"/>
    <n v="5778835000"/>
    <n v="256666.0"/>
    <n v="0.039282"/>
  </r>
  <r>
    <s v="DE"/>
    <s v="Delaware"/>
    <x v="2"/>
    <s v="South Atlantic"/>
    <x v="1"/>
    <n v="16671"/>
    <n v="4434835000"/>
    <n v="7995"/>
    <n v="2275065000"/>
    <n v="3598"/>
    <n v="826240000"/>
    <n v="28264"/>
    <n v="7536140000"/>
    <n v="266633.88"/>
    <n v="0.070614"/>
  </r>
  <r>
    <s v="DE"/>
    <s v="Delaware"/>
    <x v="2"/>
    <s v="South Atlantic"/>
    <x v="2"/>
    <n v="19352"/>
    <n v="5671940000"/>
    <n v="23662"/>
    <n v="6996950000"/>
    <n v="5108"/>
    <n v="1322640000"/>
    <n v="48122"/>
    <n v="13991530000"/>
    <n v="290751.22"/>
    <n v="0.083585"/>
  </r>
  <r>
    <s v="DE"/>
    <s v="Delaware"/>
    <x v="2"/>
    <s v="South Atlantic"/>
    <x v="3"/>
    <n v="21418"/>
    <n v="6831400000"/>
    <n v="22864"/>
    <n v="6062610000"/>
    <n v="9208"/>
    <n v="2524440000"/>
    <n v="53490"/>
    <n v="15418450000"/>
    <n v="288249.21"/>
    <n v="0.153717"/>
  </r>
  <r>
    <s v="DE"/>
    <s v="Delaware"/>
    <x v="2"/>
    <s v="South Atlantic"/>
    <x v="4"/>
    <n v="17271"/>
    <n v="6168085000"/>
    <n v="4310"/>
    <n v="1144900000"/>
    <n v="4930"/>
    <n v="1355340000"/>
    <n v="26511"/>
    <n v="8668325000"/>
    <n v="326970.88"/>
    <n v="0.121628"/>
  </r>
  <r>
    <s v="DE"/>
    <s v="Delaware"/>
    <x v="2"/>
    <s v="South Atlantic"/>
    <x v="5"/>
    <n v="13344"/>
    <n v="4656880000"/>
    <n v="1667"/>
    <n v="766405000"/>
    <n v="2350"/>
    <n v="549610000"/>
    <n v="17361"/>
    <n v="5972895000"/>
    <n v="344040.95"/>
    <n v="0.045877"/>
  </r>
  <r>
    <s v="DE"/>
    <s v="Delaware"/>
    <x v="2"/>
    <s v="South Atlantic"/>
    <x v="6"/>
    <n v="13681"/>
    <n v="4766175000"/>
    <n v="2736"/>
    <n v="1021560000"/>
    <n v="2996"/>
    <n v="693260000"/>
    <n v="19413"/>
    <n v="6480995000"/>
    <n v="333848.19"/>
    <n v="0.035142"/>
  </r>
  <r>
    <s v="DE"/>
    <s v="Delaware"/>
    <x v="2"/>
    <s v="South Atlantic"/>
    <x v="7"/>
    <n v="14078"/>
    <n v="5157580000"/>
    <n v="4128"/>
    <n v="1447560000"/>
    <n v="3778"/>
    <n v="845240000"/>
    <n v="21984"/>
    <n v="7450380000"/>
    <n v="338900.11"/>
    <n v="0.069829"/>
  </r>
  <r>
    <s v="DC"/>
    <s v="District of Columbia"/>
    <x v="2"/>
    <s v="South Atlantic"/>
    <x v="0"/>
    <n v="8709"/>
    <n v="4861865000"/>
    <n v="2036"/>
    <n v="1568250000"/>
    <n v="2701"/>
    <n v="1156775000"/>
    <n v="13446"/>
    <n v="7586890000"/>
    <n v="564248.85"/>
    <n v="0.058342"/>
  </r>
  <r>
    <s v="DC"/>
    <s v="District of Columbia"/>
    <x v="2"/>
    <s v="South Atlantic"/>
    <x v="1"/>
    <n v="9061"/>
    <n v="5189765000"/>
    <n v="5202"/>
    <n v="3444320000"/>
    <n v="3266"/>
    <n v="1611150000"/>
    <n v="17529"/>
    <n v="10245235000"/>
    <n v="584473.44"/>
    <n v="0.049369"/>
  </r>
  <r>
    <s v="DC"/>
    <s v="District of Columbia"/>
    <x v="2"/>
    <s v="South Atlantic"/>
    <x v="2"/>
    <n v="9514"/>
    <n v="6012110000"/>
    <n v="17146"/>
    <n v="9107620000"/>
    <n v="4410"/>
    <n v="2200350000"/>
    <n v="31070"/>
    <n v="17320080000"/>
    <n v="557453.49"/>
    <n v="0.034729"/>
  </r>
  <r>
    <s v="DC"/>
    <s v="District of Columbia"/>
    <x v="2"/>
    <s v="South Atlantic"/>
    <x v="3"/>
    <n v="10534"/>
    <n v="6959750000"/>
    <n v="13991"/>
    <n v="7655795000"/>
    <n v="5687"/>
    <n v="2841455000"/>
    <n v="30212"/>
    <n v="17457000000"/>
    <n v="577816.76"/>
    <n v="0.062777"/>
  </r>
  <r>
    <s v="DC"/>
    <s v="District of Columbia"/>
    <x v="2"/>
    <s v="South Atlantic"/>
    <x v="4"/>
    <n v="8104"/>
    <n v="5950860000"/>
    <n v="1880"/>
    <n v="1987590000"/>
    <n v="2389"/>
    <n v="1445895000"/>
    <n v="12373"/>
    <n v="9384345000"/>
    <n v="758453.49"/>
    <n v="-0.041901"/>
  </r>
  <r>
    <s v="DC"/>
    <s v="District of Columbia"/>
    <x v="2"/>
    <s v="South Atlantic"/>
    <x v="5"/>
    <n v="5959"/>
    <n v="4005085000"/>
    <n v="574"/>
    <n v="1343530000"/>
    <n v="815"/>
    <n v="375175000"/>
    <n v="7348"/>
    <n v="5723790000"/>
    <n v="778958.9"/>
    <n v="0.019263"/>
  </r>
  <r>
    <s v="DC"/>
    <s v="District of Columbia"/>
    <x v="2"/>
    <s v="South Atlantic"/>
    <x v="6"/>
    <n v="5466"/>
    <n v="4054360000"/>
    <n v="926"/>
    <n v="1013360000"/>
    <n v="888"/>
    <n v="491770000"/>
    <n v="7280"/>
    <n v="5559490000"/>
    <n v="763666.21"/>
    <n v="0.02895"/>
  </r>
  <r>
    <s v="DC"/>
    <s v="District of Columbia"/>
    <x v="2"/>
    <s v="South Atlantic"/>
    <x v="7"/>
    <n v="5474"/>
    <n v="3956760000"/>
    <n v="1481"/>
    <n v="1933805000"/>
    <n v="1093"/>
    <n v="677995000"/>
    <n v="8048"/>
    <n v="6568560000"/>
    <n v="816172.96"/>
    <n v="-0.010255"/>
  </r>
  <r>
    <s v="FL"/>
    <s v="Florida"/>
    <x v="2"/>
    <s v="South Atlantic"/>
    <x v="0"/>
    <n v="343501"/>
    <n v="91962425000"/>
    <n v="51903"/>
    <n v="16442725000"/>
    <n v="76795"/>
    <n v="16276095000"/>
    <n v="472199"/>
    <n v="124681245000"/>
    <n v="264043.86"/>
    <n v="0.069383"/>
  </r>
  <r>
    <s v="FL"/>
    <s v="Florida"/>
    <x v="2"/>
    <s v="South Atlantic"/>
    <x v="1"/>
    <n v="365858"/>
    <n v="101209670000"/>
    <n v="104791"/>
    <n v="32214735000"/>
    <n v="89470"/>
    <n v="21387990000"/>
    <n v="560119"/>
    <n v="154812395000"/>
    <n v="276391.97"/>
    <n v="0.061315"/>
  </r>
  <r>
    <s v="FL"/>
    <s v="Florida"/>
    <x v="2"/>
    <s v="South Atlantic"/>
    <x v="2"/>
    <n v="403500"/>
    <n v="119833750000"/>
    <n v="332646"/>
    <n v="93541520000"/>
    <n v="120048"/>
    <n v="30559210000"/>
    <n v="856194"/>
    <n v="243934480000"/>
    <n v="284905.62"/>
    <n v="0.118657"/>
  </r>
  <r>
    <s v="FL"/>
    <s v="Florida"/>
    <x v="2"/>
    <s v="South Atlantic"/>
    <x v="3"/>
    <n v="460660"/>
    <n v="164769700000"/>
    <n v="314242"/>
    <n v="85997280000"/>
    <n v="195107"/>
    <n v="52324665000"/>
    <n v="970009"/>
    <n v="303091645000"/>
    <n v="312462.71"/>
    <n v="0.255416"/>
  </r>
  <r>
    <s v="FL"/>
    <s v="Florida"/>
    <x v="2"/>
    <s v="South Atlantic"/>
    <x v="4"/>
    <n v="362026"/>
    <n v="145103700000"/>
    <n v="62524"/>
    <n v="23918100000"/>
    <n v="133394"/>
    <n v="40067630000"/>
    <n v="557944"/>
    <n v="209089430000"/>
    <n v="374749.85"/>
    <n v="0.130702"/>
  </r>
  <r>
    <s v="FL"/>
    <s v="Florida"/>
    <x v="2"/>
    <s v="South Atlantic"/>
    <x v="5"/>
    <n v="308082"/>
    <n v="118248580000"/>
    <n v="20427"/>
    <n v="12577935000"/>
    <n v="56354"/>
    <n v="14569650000"/>
    <n v="384863"/>
    <n v="145396165000"/>
    <n v="377786.81"/>
    <n v="0.062616"/>
  </r>
  <r>
    <s v="FL"/>
    <s v="Florida"/>
    <x v="2"/>
    <s v="South Atlantic"/>
    <x v="6"/>
    <n v="299894"/>
    <n v="120232870000"/>
    <n v="35203"/>
    <n v="18213075000"/>
    <n v="62762"/>
    <n v="20194380000"/>
    <n v="397859"/>
    <n v="158640325000"/>
    <n v="398735.04"/>
    <n v="0.020871"/>
  </r>
  <r>
    <s v="FL"/>
    <s v="Florida"/>
    <x v="2"/>
    <s v="South Atlantic"/>
    <x v="7"/>
    <n v="292562"/>
    <n v="121724820000"/>
    <n v="50453"/>
    <n v="27412455000"/>
    <n v="68738"/>
    <n v="20057410000"/>
    <n v="411753"/>
    <n v="169194685000"/>
    <n v="410913.06"/>
    <n v="-0.022847"/>
  </r>
  <r>
    <s v="GA"/>
    <s v="Georgia"/>
    <x v="2"/>
    <s v="South Atlantic"/>
    <x v="0"/>
    <n v="157030"/>
    <n v="39590920000"/>
    <n v="33768"/>
    <n v="8137040000"/>
    <n v="36804"/>
    <n v="7303140000"/>
    <n v="227602"/>
    <n v="55031100000"/>
    <n v="241786.54"/>
    <n v="0.07463"/>
  </r>
  <r>
    <s v="GA"/>
    <s v="Georgia"/>
    <x v="2"/>
    <s v="South Atlantic"/>
    <x v="1"/>
    <n v="163416"/>
    <n v="42456610000"/>
    <n v="63931"/>
    <n v="17555725000"/>
    <n v="46173"/>
    <n v="10334695000"/>
    <n v="273520"/>
    <n v="70347030000"/>
    <n v="257191.54"/>
    <n v="0.066356"/>
  </r>
  <r>
    <s v="GA"/>
    <s v="Georgia"/>
    <x v="2"/>
    <s v="South Atlantic"/>
    <x v="2"/>
    <n v="181233"/>
    <n v="50514165000"/>
    <n v="190470"/>
    <n v="51641770000"/>
    <n v="59535"/>
    <n v="15073815000"/>
    <n v="431238"/>
    <n v="117229750000"/>
    <n v="271844.67"/>
    <n v="0.116115"/>
  </r>
  <r>
    <s v="GA"/>
    <s v="Georgia"/>
    <x v="2"/>
    <s v="South Atlantic"/>
    <x v="3"/>
    <n v="194990"/>
    <n v="62148240000"/>
    <n v="170994"/>
    <n v="44240800000"/>
    <n v="94523"/>
    <n v="23322865000"/>
    <n v="460507"/>
    <n v="129711905000"/>
    <n v="281671.95"/>
    <n v="0.205864"/>
  </r>
  <r>
    <s v="GA"/>
    <s v="Georgia"/>
    <x v="2"/>
    <s v="South Atlantic"/>
    <x v="4"/>
    <n v="158323"/>
    <n v="57474225000"/>
    <n v="31009"/>
    <n v="10023995000"/>
    <n v="64559"/>
    <n v="16597025000"/>
    <n v="253891"/>
    <n v="84095245000"/>
    <n v="331225.78"/>
    <n v="0.111059"/>
  </r>
  <r>
    <s v="GA"/>
    <s v="Georgia"/>
    <x v="2"/>
    <s v="South Atlantic"/>
    <x v="5"/>
    <n v="127448"/>
    <n v="44534400000"/>
    <n v="14581"/>
    <n v="5683305000"/>
    <n v="30786"/>
    <n v="7288610000"/>
    <n v="172815"/>
    <n v="57506315000"/>
    <n v="332762.29"/>
    <n v="0.064505"/>
  </r>
  <r>
    <s v="GA"/>
    <s v="Georgia"/>
    <x v="2"/>
    <s v="South Atlantic"/>
    <x v="6"/>
    <n v="129866"/>
    <n v="47276220000"/>
    <n v="25555"/>
    <n v="10447275000"/>
    <n v="34197"/>
    <n v="8777605000"/>
    <n v="189618"/>
    <n v="66501100000"/>
    <n v="350710.9"/>
    <n v="0.048148"/>
  </r>
  <r>
    <s v="GA"/>
    <s v="Georgia"/>
    <x v="2"/>
    <s v="South Atlantic"/>
    <x v="7"/>
    <n v="129478"/>
    <n v="48036590000"/>
    <n v="36462"/>
    <n v="16637300000"/>
    <n v="38650"/>
    <n v="9714990000"/>
    <n v="204590"/>
    <n v="74388880000"/>
    <n v="363599.78"/>
    <n v="-0.000119"/>
  </r>
  <r>
    <s v="HI"/>
    <s v="Hawaii"/>
    <x v="3"/>
    <s v="Pacific"/>
    <x v="0"/>
    <n v="13947"/>
    <n v="7098625000"/>
    <n v="5608"/>
    <n v="2078250000"/>
    <n v="4741"/>
    <n v="2092385000"/>
    <n v="24296"/>
    <n v="11269260000"/>
    <n v="463831.91"/>
    <n v="0.025632"/>
  </r>
  <r>
    <s v="HI"/>
    <s v="Hawaii"/>
    <x v="3"/>
    <s v="Pacific"/>
    <x v="1"/>
    <n v="13885"/>
    <n v="7286355000"/>
    <n v="11146"/>
    <n v="5479330000"/>
    <n v="6105"/>
    <n v="2898035000"/>
    <n v="31136"/>
    <n v="15663720000"/>
    <n v="503074.25"/>
    <n v="0.037944"/>
  </r>
  <r>
    <s v="HI"/>
    <s v="Hawaii"/>
    <x v="3"/>
    <s v="Pacific"/>
    <x v="2"/>
    <n v="13242"/>
    <n v="7443620000"/>
    <n v="30436"/>
    <n v="14722110000"/>
    <n v="10639"/>
    <n v="5196925000"/>
    <n v="54317"/>
    <n v="27362655000"/>
    <n v="503758.58"/>
    <n v="0.064385"/>
  </r>
  <r>
    <s v="HI"/>
    <s v="Hawaii"/>
    <x v="3"/>
    <s v="Pacific"/>
    <x v="3"/>
    <n v="18137"/>
    <n v="11391275000"/>
    <n v="26001"/>
    <n v="11852045000"/>
    <n v="12471"/>
    <n v="6307645000"/>
    <n v="56609"/>
    <n v="29550965000"/>
    <n v="522018.85"/>
    <n v="0.206107"/>
  </r>
  <r>
    <s v="HI"/>
    <s v="Hawaii"/>
    <x v="3"/>
    <s v="Pacific"/>
    <x v="4"/>
    <n v="13325"/>
    <n v="9037415000"/>
    <n v="6549"/>
    <n v="3172545000"/>
    <n v="4814"/>
    <n v="2630920000"/>
    <n v="24688"/>
    <n v="14840880000"/>
    <n v="601137.39"/>
    <n v="0.156991"/>
  </r>
  <r>
    <s v="HI"/>
    <s v="Hawaii"/>
    <x v="3"/>
    <s v="Pacific"/>
    <x v="5"/>
    <n v="8668"/>
    <n v="6194060000"/>
    <n v="2205"/>
    <n v="960715000"/>
    <n v="1340"/>
    <n v="682810000"/>
    <n v="12213"/>
    <n v="7837585000"/>
    <n v="641741.18"/>
    <n v="-0.035076"/>
  </r>
  <r>
    <s v="HI"/>
    <s v="Hawaii"/>
    <x v="3"/>
    <s v="Pacific"/>
    <x v="6"/>
    <n v="8980"/>
    <n v="6412200000"/>
    <n v="2436"/>
    <n v="1268660000"/>
    <n v="1715"/>
    <n v="836405000"/>
    <n v="13131"/>
    <n v="8517265000"/>
    <n v="648637.96"/>
    <n v="0.030448"/>
  </r>
  <r>
    <s v="HI"/>
    <s v="Hawaii"/>
    <x v="3"/>
    <s v="Pacific"/>
    <x v="7"/>
    <n v="9935"/>
    <n v="6901155000"/>
    <n v="4032"/>
    <n v="3004980000"/>
    <n v="2143"/>
    <n v="1110025000"/>
    <n v="16110"/>
    <n v="11016160000"/>
    <n v="683808.81"/>
    <n v="0.004199"/>
  </r>
  <r>
    <s v="ID"/>
    <s v="Idaho"/>
    <x v="3"/>
    <s v="Mountain"/>
    <x v="0"/>
    <n v="37630"/>
    <n v="8542760000"/>
    <n v="6633"/>
    <n v="1323625000"/>
    <n v="10071"/>
    <n v="1938645000"/>
    <n v="54334"/>
    <n v="11805030000"/>
    <n v="217267.82"/>
    <n v="0.123137"/>
  </r>
  <r>
    <s v="ID"/>
    <s v="Idaho"/>
    <x v="3"/>
    <s v="Mountain"/>
    <x v="1"/>
    <n v="39075"/>
    <n v="9593085000"/>
    <n v="15359"/>
    <n v="3837235000"/>
    <n v="19925"/>
    <n v="3916515000"/>
    <n v="74359"/>
    <n v="17346835000"/>
    <n v="233284.94"/>
    <n v="0.130599"/>
  </r>
  <r>
    <s v="ID"/>
    <s v="Idaho"/>
    <x v="3"/>
    <s v="Mountain"/>
    <x v="2"/>
    <n v="43149"/>
    <n v="12156985000"/>
    <n v="45028"/>
    <n v="11420970000"/>
    <n v="29210"/>
    <n v="6598560000"/>
    <n v="117387"/>
    <n v="30176515000"/>
    <n v="257068.63"/>
    <n v="0.202348"/>
  </r>
  <r>
    <s v="ID"/>
    <s v="Idaho"/>
    <x v="3"/>
    <s v="Mountain"/>
    <x v="3"/>
    <n v="39832"/>
    <n v="14274390000"/>
    <n v="35823"/>
    <n v="9300075000"/>
    <n v="41755"/>
    <n v="11167055000"/>
    <n v="117410"/>
    <n v="34741520000"/>
    <n v="295899.16"/>
    <n v="0.275594"/>
  </r>
  <r>
    <s v="ID"/>
    <s v="Idaho"/>
    <x v="3"/>
    <s v="Mountain"/>
    <x v="4"/>
    <n v="30333"/>
    <n v="12540345000"/>
    <n v="7154"/>
    <n v="2573780000"/>
    <n v="17818"/>
    <n v="4725320000"/>
    <n v="55305"/>
    <n v="19839445000"/>
    <n v="358727.87"/>
    <n v="0.02263"/>
  </r>
  <r>
    <s v="ID"/>
    <s v="Idaho"/>
    <x v="3"/>
    <s v="Mountain"/>
    <x v="5"/>
    <n v="24341"/>
    <n v="9016865000"/>
    <n v="2858"/>
    <n v="1206600000"/>
    <n v="6454"/>
    <n v="1403600000"/>
    <n v="33653"/>
    <n v="11627065000"/>
    <n v="345498.62"/>
    <n v="0.020462"/>
  </r>
  <r>
    <s v="ID"/>
    <s v="Idaho"/>
    <x v="3"/>
    <s v="Mountain"/>
    <x v="6"/>
    <n v="25840"/>
    <n v="9986030000"/>
    <n v="4430"/>
    <n v="1733400000"/>
    <n v="7202"/>
    <n v="1954170000"/>
    <n v="37472"/>
    <n v="13673600000"/>
    <n v="364901.79"/>
    <n v="0.055138"/>
  </r>
  <r>
    <s v="ID"/>
    <s v="Idaho"/>
    <x v="3"/>
    <s v="Mountain"/>
    <x v="7"/>
    <n v="29211"/>
    <n v="11614435000"/>
    <n v="6754"/>
    <n v="2846950000"/>
    <n v="9283"/>
    <n v="2294125000"/>
    <n v="45248"/>
    <n v="16755510000"/>
    <n v="370303.88"/>
    <n v="-0.008246"/>
  </r>
  <r>
    <s v="IL"/>
    <s v="Illinois"/>
    <x v="0"/>
    <s v="East North Central"/>
    <x v="0"/>
    <n v="154345"/>
    <n v="37184465000"/>
    <n v="42602"/>
    <n v="10975040000"/>
    <n v="35101"/>
    <n v="7207695000"/>
    <n v="232048"/>
    <n v="55367200000"/>
    <n v="238602.36"/>
    <n v="0.023629"/>
  </r>
  <r>
    <s v="IL"/>
    <s v="Illinois"/>
    <x v="0"/>
    <s v="East North Central"/>
    <x v="1"/>
    <n v="154223"/>
    <n v="37440515000"/>
    <n v="90758"/>
    <n v="27884020000"/>
    <n v="40794"/>
    <n v="9512860000"/>
    <n v="285775"/>
    <n v="74837395000"/>
    <n v="261875.23"/>
    <n v="0.030881"/>
  </r>
  <r>
    <s v="IL"/>
    <s v="Illinois"/>
    <x v="0"/>
    <s v="East North Central"/>
    <x v="2"/>
    <n v="172237"/>
    <n v="42678495000"/>
    <n v="267079"/>
    <n v="71940565000"/>
    <n v="59201"/>
    <n v="14330735000"/>
    <n v="498517"/>
    <n v="128949795000"/>
    <n v="258666.8"/>
    <n v="0.08171"/>
  </r>
  <r>
    <s v="IL"/>
    <s v="Illinois"/>
    <x v="0"/>
    <s v="East North Central"/>
    <x v="3"/>
    <n v="199339"/>
    <n v="54962475000"/>
    <n v="221215"/>
    <n v="58797155000"/>
    <n v="73345"/>
    <n v="17727675000"/>
    <n v="493899"/>
    <n v="131487305000"/>
    <n v="266223.06"/>
    <n v="0.119865"/>
  </r>
  <r>
    <s v="IL"/>
    <s v="Illinois"/>
    <x v="0"/>
    <s v="East North Central"/>
    <x v="4"/>
    <n v="160417"/>
    <n v="48125945000"/>
    <n v="36805"/>
    <n v="10909845000"/>
    <n v="35386"/>
    <n v="9101430000"/>
    <n v="232608"/>
    <n v="68137220000"/>
    <n v="292927.24"/>
    <n v="0.068677"/>
  </r>
  <r>
    <s v="IL"/>
    <s v="Illinois"/>
    <x v="0"/>
    <s v="East North Central"/>
    <x v="5"/>
    <n v="128017"/>
    <n v="35726575000"/>
    <n v="13319"/>
    <n v="5496625000"/>
    <n v="17505"/>
    <n v="3865875000"/>
    <n v="158841"/>
    <n v="45089075000"/>
    <n v="283862.95"/>
    <n v="0.084654"/>
  </r>
  <r>
    <s v="IL"/>
    <s v="Illinois"/>
    <x v="0"/>
    <s v="East North Central"/>
    <x v="6"/>
    <n v="126804"/>
    <n v="38190830000"/>
    <n v="23798"/>
    <n v="9753940000"/>
    <n v="22846"/>
    <n v="4974170000"/>
    <n v="173448"/>
    <n v="52918940000"/>
    <n v="305099.74"/>
    <n v="0.074245"/>
  </r>
  <r>
    <s v="IL"/>
    <s v="Illinois"/>
    <x v="0"/>
    <s v="East North Central"/>
    <x v="7"/>
    <n v="126465"/>
    <n v="40779925000"/>
    <n v="37322"/>
    <n v="16602520000"/>
    <n v="30549"/>
    <n v="7823555000"/>
    <n v="194336"/>
    <n v="65206000000"/>
    <n v="335532.27"/>
    <n v="0.063674"/>
  </r>
  <r>
    <s v="IN"/>
    <s v="Indiana"/>
    <x v="0"/>
    <s v="East North Central"/>
    <x v="0"/>
    <n v="99366"/>
    <n v="18046560000"/>
    <n v="24239"/>
    <n v="4375645000"/>
    <n v="26288"/>
    <n v="3702040000"/>
    <n v="149893"/>
    <n v="26124245000"/>
    <n v="174285.96"/>
    <n v="0.063266"/>
  </r>
  <r>
    <s v="IN"/>
    <s v="Indiana"/>
    <x v="0"/>
    <s v="East North Central"/>
    <x v="1"/>
    <n v="100779"/>
    <n v="19362075000"/>
    <n v="45991"/>
    <n v="9362555000"/>
    <n v="32505"/>
    <n v="5118845000"/>
    <n v="179275"/>
    <n v="33843475000"/>
    <n v="188779.67"/>
    <n v="0.070688"/>
  </r>
  <r>
    <s v="IN"/>
    <s v="Indiana"/>
    <x v="0"/>
    <s v="East North Central"/>
    <x v="2"/>
    <n v="110003"/>
    <n v="22554345000"/>
    <n v="136216"/>
    <n v="27442830000"/>
    <n v="48891"/>
    <n v="8545145000"/>
    <n v="295110"/>
    <n v="58542320000"/>
    <n v="198374.57"/>
    <n v="0.122945"/>
  </r>
  <r>
    <s v="IN"/>
    <s v="Indiana"/>
    <x v="0"/>
    <s v="East North Central"/>
    <x v="3"/>
    <n v="114720"/>
    <n v="26884230000"/>
    <n v="112584"/>
    <n v="20927970000"/>
    <n v="63964"/>
    <n v="11290310000"/>
    <n v="291268"/>
    <n v="59102510000"/>
    <n v="202914.53"/>
    <n v="0.145498"/>
  </r>
  <r>
    <s v="IN"/>
    <s v="Indiana"/>
    <x v="0"/>
    <s v="East North Central"/>
    <x v="4"/>
    <n v="101494"/>
    <n v="26753720000"/>
    <n v="25292"/>
    <n v="5894340000"/>
    <n v="38885"/>
    <n v="6926265000"/>
    <n v="165671"/>
    <n v="39574325000"/>
    <n v="238872.98"/>
    <n v="0.088506"/>
  </r>
  <r>
    <s v="IN"/>
    <s v="Indiana"/>
    <x v="0"/>
    <s v="East North Central"/>
    <x v="5"/>
    <n v="82007"/>
    <n v="21955345000"/>
    <n v="12233"/>
    <n v="3191595000"/>
    <n v="21348"/>
    <n v="3336030000"/>
    <n v="115588"/>
    <n v="28482970000"/>
    <n v="246418.05"/>
    <n v="0.072336"/>
  </r>
  <r>
    <s v="IN"/>
    <s v="Indiana"/>
    <x v="0"/>
    <s v="East North Central"/>
    <x v="6"/>
    <n v="86417"/>
    <n v="22840145000"/>
    <n v="19378"/>
    <n v="5174520000"/>
    <n v="23512"/>
    <n v="3965180000"/>
    <n v="129307"/>
    <n v="31979845000"/>
    <n v="247317.2"/>
    <n v="0.065087"/>
  </r>
  <r>
    <s v="IN"/>
    <s v="Indiana"/>
    <x v="0"/>
    <s v="East North Central"/>
    <x v="7"/>
    <n v="87808"/>
    <n v="26132520000"/>
    <n v="26756"/>
    <n v="8477500000"/>
    <n v="28714"/>
    <n v="5046600000"/>
    <n v="143278"/>
    <n v="39656620000"/>
    <n v="276780.94"/>
    <n v="0.033455"/>
  </r>
  <r>
    <s v="IA"/>
    <s v="Iowa"/>
    <x v="0"/>
    <s v="West North Central"/>
    <x v="0"/>
    <n v="50181"/>
    <n v="8171435000"/>
    <n v="13575"/>
    <n v="2063065000"/>
    <n v="9822"/>
    <n v="1412650000"/>
    <n v="73578"/>
    <n v="11647150000"/>
    <n v="158296.64"/>
    <n v="0.042857"/>
  </r>
  <r>
    <s v="IA"/>
    <s v="Iowa"/>
    <x v="0"/>
    <s v="West North Central"/>
    <x v="1"/>
    <n v="48994"/>
    <n v="8487110000"/>
    <n v="21977"/>
    <n v="4271305000"/>
    <n v="13684"/>
    <n v="2385570000"/>
    <n v="84655"/>
    <n v="15143985000"/>
    <n v="178890.61"/>
    <n v="0.030371"/>
  </r>
  <r>
    <s v="IA"/>
    <s v="Iowa"/>
    <x v="0"/>
    <s v="West North Central"/>
    <x v="2"/>
    <n v="52801"/>
    <n v="9735055000"/>
    <n v="55267"/>
    <n v="11939225000"/>
    <n v="21119"/>
    <n v="4011595000"/>
    <n v="129187"/>
    <n v="25685875000"/>
    <n v="198827.09"/>
    <n v="0.081794"/>
  </r>
  <r>
    <s v="IA"/>
    <s v="Iowa"/>
    <x v="0"/>
    <s v="West North Central"/>
    <x v="3"/>
    <n v="56761"/>
    <n v="12061925000"/>
    <n v="47163"/>
    <n v="9151815000"/>
    <n v="21429"/>
    <n v="3850455000"/>
    <n v="125353"/>
    <n v="25064195000"/>
    <n v="199948.9"/>
    <n v="0.110128"/>
  </r>
  <r>
    <s v="IA"/>
    <s v="Iowa"/>
    <x v="0"/>
    <s v="West North Central"/>
    <x v="4"/>
    <n v="49548"/>
    <n v="10701650000"/>
    <n v="12706"/>
    <n v="2691690000"/>
    <n v="11181"/>
    <n v="2084685000"/>
    <n v="73435"/>
    <n v="15478025000"/>
    <n v="210771.77"/>
    <n v="0.084251"/>
  </r>
  <r>
    <s v="IA"/>
    <s v="Iowa"/>
    <x v="0"/>
    <s v="West North Central"/>
    <x v="5"/>
    <n v="39087"/>
    <n v="8399865000"/>
    <n v="6451"/>
    <n v="1127475000"/>
    <n v="5245"/>
    <n v="716805000"/>
    <n v="50783"/>
    <n v="10244145000"/>
    <n v="201723.9"/>
    <n v="0.058423"/>
  </r>
  <r>
    <s v="IA"/>
    <s v="Iowa"/>
    <x v="0"/>
    <s v="West North Central"/>
    <x v="6"/>
    <n v="39109"/>
    <n v="8760895000"/>
    <n v="8877"/>
    <n v="1899255000"/>
    <n v="5705"/>
    <n v="894535000"/>
    <n v="53691"/>
    <n v="11554685000"/>
    <n v="215207.11"/>
    <n v="0.050961"/>
  </r>
  <r>
    <s v="IA"/>
    <s v="Iowa"/>
    <x v="0"/>
    <s v="West North Central"/>
    <x v="7"/>
    <n v="41879"/>
    <n v="10032125000"/>
    <n v="12476"/>
    <n v="3549790000"/>
    <n v="7136"/>
    <n v="1306120000"/>
    <n v="61491"/>
    <n v="14888035000"/>
    <n v="242117.3"/>
    <n v="0.037492"/>
  </r>
  <r>
    <s v="KS"/>
    <s v="Kansas"/>
    <x v="0"/>
    <s v="West North Central"/>
    <x v="0"/>
    <n v="37146"/>
    <n v="7272750000"/>
    <n v="8526"/>
    <n v="1658030000"/>
    <n v="8291"/>
    <n v="1595085000"/>
    <n v="53963"/>
    <n v="10525865000"/>
    <n v="195057.08"/>
    <n v="0.054257"/>
  </r>
  <r>
    <s v="KS"/>
    <s v="Kansas"/>
    <x v="0"/>
    <s v="West North Central"/>
    <x v="1"/>
    <n v="37854"/>
    <n v="7845640000"/>
    <n v="14299"/>
    <n v="3294035000"/>
    <n v="10846"/>
    <n v="2046060000"/>
    <n v="62999"/>
    <n v="13185735000"/>
    <n v="209300.7"/>
    <n v="0.053045"/>
  </r>
  <r>
    <s v="KS"/>
    <s v="Kansas"/>
    <x v="0"/>
    <s v="West North Central"/>
    <x v="2"/>
    <n v="41489"/>
    <n v="9050335000"/>
    <n v="43252"/>
    <n v="10004460000"/>
    <n v="15932"/>
    <n v="3366730000"/>
    <n v="100673"/>
    <n v="22421525000"/>
    <n v="222716.37"/>
    <n v="0.109123"/>
  </r>
  <r>
    <s v="KS"/>
    <s v="Kansas"/>
    <x v="0"/>
    <s v="West North Central"/>
    <x v="3"/>
    <n v="43843"/>
    <n v="10457005000"/>
    <n v="35542"/>
    <n v="7717530000"/>
    <n v="19058"/>
    <n v="3948240000"/>
    <n v="98443"/>
    <n v="22122775000"/>
    <n v="224726.75"/>
    <n v="0.127275"/>
  </r>
  <r>
    <s v="KS"/>
    <s v="Kansas"/>
    <x v="0"/>
    <s v="West North Central"/>
    <x v="4"/>
    <n v="36840"/>
    <n v="9886080000"/>
    <n v="7784"/>
    <n v="1698240000"/>
    <n v="9772"/>
    <n v="2013500000"/>
    <n v="54396"/>
    <n v="13597820000"/>
    <n v="249978.31"/>
    <n v="0.081622"/>
  </r>
  <r>
    <s v="KS"/>
    <s v="Kansas"/>
    <x v="0"/>
    <s v="West North Central"/>
    <x v="5"/>
    <n v="30898"/>
    <n v="8242760000"/>
    <n v="4496"/>
    <n v="1472900000"/>
    <n v="4958"/>
    <n v="887220000"/>
    <n v="40352"/>
    <n v="10602880000"/>
    <n v="262759.71"/>
    <n v="0.077653"/>
  </r>
  <r>
    <s v="KS"/>
    <s v="Kansas"/>
    <x v="0"/>
    <s v="West North Central"/>
    <x v="6"/>
    <n v="31629"/>
    <n v="8538695000"/>
    <n v="6994"/>
    <n v="1767650000"/>
    <n v="6181"/>
    <n v="1840305000"/>
    <n v="44804"/>
    <n v="12146650000"/>
    <n v="271106.37"/>
    <n v="0.055738"/>
  </r>
  <r>
    <s v="KS"/>
    <s v="Kansas"/>
    <x v="0"/>
    <s v="West North Central"/>
    <x v="7"/>
    <n v="33265"/>
    <n v="9781115000"/>
    <n v="9838"/>
    <n v="3018730000"/>
    <n v="7421"/>
    <n v="1398995000"/>
    <n v="50524"/>
    <n v="14198840000"/>
    <n v="281031.59"/>
    <n v="0.040752"/>
  </r>
  <r>
    <s v="KY"/>
    <s v="Kentucky"/>
    <x v="2"/>
    <s v="East South Central"/>
    <x v="0"/>
    <n v="56751"/>
    <n v="10158975000"/>
    <n v="16331"/>
    <n v="2787375000"/>
    <n v="12449"/>
    <n v="1865155000"/>
    <n v="85531"/>
    <n v="14811505000"/>
    <n v="173171.19"/>
    <n v="0.049815"/>
  </r>
  <r>
    <s v="KY"/>
    <s v="Kentucky"/>
    <x v="2"/>
    <s v="East South Central"/>
    <x v="1"/>
    <n v="58539"/>
    <n v="10894155000"/>
    <n v="27112"/>
    <n v="5457470000"/>
    <n v="15060"/>
    <n v="2571570000"/>
    <n v="100711"/>
    <n v="18923195000"/>
    <n v="187896.01"/>
    <n v="0.042367"/>
  </r>
  <r>
    <s v="KY"/>
    <s v="Kentucky"/>
    <x v="2"/>
    <s v="East South Central"/>
    <x v="2"/>
    <n v="64280"/>
    <n v="12839670000"/>
    <n v="71094"/>
    <n v="14713370000"/>
    <n v="21867"/>
    <n v="4261485000"/>
    <n v="157241"/>
    <n v="31814525000"/>
    <n v="202329.7"/>
    <n v="0.111897"/>
  </r>
  <r>
    <s v="KY"/>
    <s v="Kentucky"/>
    <x v="2"/>
    <s v="East South Central"/>
    <x v="3"/>
    <n v="68796"/>
    <n v="15519670000"/>
    <n v="64329"/>
    <n v="12636115000"/>
    <n v="28168"/>
    <n v="5454700000"/>
    <n v="161293"/>
    <n v="33610485000"/>
    <n v="208381.55"/>
    <n v="0.140152"/>
  </r>
  <r>
    <s v="KY"/>
    <s v="Kentucky"/>
    <x v="2"/>
    <s v="East South Central"/>
    <x v="4"/>
    <n v="58809"/>
    <n v="15507005000"/>
    <n v="17535"/>
    <n v="3793705000"/>
    <n v="16593"/>
    <n v="3136965000"/>
    <n v="92937"/>
    <n v="22437675000"/>
    <n v="241428.87"/>
    <n v="0.093972"/>
  </r>
  <r>
    <s v="KY"/>
    <s v="Kentucky"/>
    <x v="2"/>
    <s v="East South Central"/>
    <x v="5"/>
    <n v="46993"/>
    <n v="11578505000"/>
    <n v="8996"/>
    <n v="2016230000"/>
    <n v="9156"/>
    <n v="1579780000"/>
    <n v="65145"/>
    <n v="15174515000"/>
    <n v="232934.45"/>
    <n v="0.058498"/>
  </r>
  <r>
    <s v="KY"/>
    <s v="Kentucky"/>
    <x v="2"/>
    <s v="East South Central"/>
    <x v="6"/>
    <n v="49243"/>
    <n v="12722515000"/>
    <n v="11885"/>
    <n v="3086205000"/>
    <n v="10519"/>
    <n v="1846595000"/>
    <n v="71647"/>
    <n v="17655315000"/>
    <n v="246420.86"/>
    <n v="0.065426"/>
  </r>
  <r>
    <s v="KY"/>
    <s v="Kentucky"/>
    <x v="2"/>
    <s v="East South Central"/>
    <x v="7"/>
    <n v="51753"/>
    <n v="14622565000"/>
    <n v="16732"/>
    <n v="4609090000"/>
    <n v="13189"/>
    <n v="2578235000"/>
    <n v="81674"/>
    <n v="21809890000"/>
    <n v="267035.9"/>
    <n v="0.028846"/>
  </r>
  <r>
    <s v="LA"/>
    <s v="Louisiana"/>
    <x v="2"/>
    <s v="West South Central"/>
    <x v="0"/>
    <n v="49516"/>
    <n v="10060450000"/>
    <n v="16110"/>
    <n v="3016650000"/>
    <n v="11709"/>
    <n v="2055055000"/>
    <n v="77335"/>
    <n v="15132155000"/>
    <n v="195670.2"/>
    <n v="0.020333"/>
  </r>
  <r>
    <s v="LA"/>
    <s v="Louisiana"/>
    <x v="2"/>
    <s v="West South Central"/>
    <x v="1"/>
    <n v="53720"/>
    <n v="11194850000"/>
    <n v="22413"/>
    <n v="5254665000"/>
    <n v="12091"/>
    <n v="2384235000"/>
    <n v="88224"/>
    <n v="18833750000"/>
    <n v="213476.49"/>
    <n v="0.028804"/>
  </r>
  <r>
    <s v="LA"/>
    <s v="Louisiana"/>
    <x v="2"/>
    <s v="West South Central"/>
    <x v="2"/>
    <n v="58521"/>
    <n v="12875455000"/>
    <n v="62034"/>
    <n v="14518230000"/>
    <n v="16779"/>
    <n v="3777325000"/>
    <n v="137334"/>
    <n v="31171010000"/>
    <n v="226972.27"/>
    <n v="0.062828"/>
  </r>
  <r>
    <s v="LA"/>
    <s v="Louisiana"/>
    <x v="2"/>
    <s v="West South Central"/>
    <x v="3"/>
    <n v="67364"/>
    <n v="16212780000"/>
    <n v="51098"/>
    <n v="11390640000"/>
    <n v="18802"/>
    <n v="4061060000"/>
    <n v="137264"/>
    <n v="31664480000"/>
    <n v="230683.06"/>
    <n v="0.102555"/>
  </r>
  <r>
    <s v="LA"/>
    <s v="Louisiana"/>
    <x v="2"/>
    <s v="West South Central"/>
    <x v="4"/>
    <n v="56307"/>
    <n v="14480685000"/>
    <n v="13741"/>
    <n v="3320915000"/>
    <n v="11193"/>
    <n v="2313495000"/>
    <n v="81241"/>
    <n v="20115095000"/>
    <n v="247597.83"/>
    <n v="0.047635"/>
  </r>
  <r>
    <s v="LA"/>
    <s v="Louisiana"/>
    <x v="2"/>
    <s v="West South Central"/>
    <x v="5"/>
    <n v="40626"/>
    <n v="10070850000"/>
    <n v="7835"/>
    <n v="2049345000"/>
    <n v="5663"/>
    <n v="1028505000"/>
    <n v="54124"/>
    <n v="13148700000"/>
    <n v="242936.59"/>
    <n v="0.018015"/>
  </r>
  <r>
    <s v="LA"/>
    <s v="Louisiana"/>
    <x v="2"/>
    <s v="West South Central"/>
    <x v="6"/>
    <n v="39733"/>
    <n v="10018105000"/>
    <n v="9245"/>
    <n v="2466725000"/>
    <n v="6107"/>
    <n v="1305875000"/>
    <n v="55085"/>
    <n v="13790705000"/>
    <n v="250353.18"/>
    <n v="0.006143"/>
  </r>
  <r>
    <s v="LA"/>
    <s v="Louisiana"/>
    <x v="2"/>
    <s v="West South Central"/>
    <x v="7"/>
    <n v="41291"/>
    <n v="10561745000"/>
    <n v="12247"/>
    <n v="3388205000"/>
    <n v="7449"/>
    <n v="1438515000"/>
    <n v="60987"/>
    <n v="15388465000"/>
    <n v="252323.69"/>
    <n v="0.034617"/>
  </r>
  <r>
    <s v="ME"/>
    <s v="Maine"/>
    <x v="1"/>
    <s v="New England"/>
    <x v="0"/>
    <n v="18484"/>
    <n v="4096560000"/>
    <n v="5067"/>
    <n v="923545000"/>
    <n v="5156"/>
    <n v="922360000"/>
    <n v="28707"/>
    <n v="5942465000"/>
    <n v="207004.04"/>
    <n v="0.069832"/>
  </r>
  <r>
    <s v="ME"/>
    <s v="Maine"/>
    <x v="1"/>
    <s v="New England"/>
    <x v="1"/>
    <n v="19509"/>
    <n v="4617355000"/>
    <n v="9057"/>
    <n v="1988295000"/>
    <n v="6312"/>
    <n v="1299960000"/>
    <n v="34878"/>
    <n v="7905610000"/>
    <n v="226664.66"/>
    <n v="0.065837"/>
  </r>
  <r>
    <s v="ME"/>
    <s v="Maine"/>
    <x v="1"/>
    <s v="New England"/>
    <x v="2"/>
    <n v="21860"/>
    <n v="5643310000"/>
    <n v="25814"/>
    <n v="6125980000"/>
    <n v="11081"/>
    <n v="2544165000"/>
    <n v="58755"/>
    <n v="14313455000"/>
    <n v="243612.54"/>
    <n v="0.140122"/>
  </r>
  <r>
    <s v="ME"/>
    <s v="Maine"/>
    <x v="1"/>
    <s v="New England"/>
    <x v="3"/>
    <n v="23220"/>
    <n v="6947920000"/>
    <n v="21632"/>
    <n v="4917430000"/>
    <n v="14413"/>
    <n v="3383405000"/>
    <n v="59265"/>
    <n v="15248755000"/>
    <n v="257297.81"/>
    <n v="0.201607"/>
  </r>
  <r>
    <s v="ME"/>
    <s v="Maine"/>
    <x v="1"/>
    <s v="New England"/>
    <x v="4"/>
    <n v="18871"/>
    <n v="6232955000"/>
    <n v="5105"/>
    <n v="1347045000"/>
    <n v="7716"/>
    <n v="1848990000"/>
    <n v="31692"/>
    <n v="9428990000"/>
    <n v="297519.56"/>
    <n v="0.125361"/>
  </r>
  <r>
    <s v="ME"/>
    <s v="Maine"/>
    <x v="1"/>
    <s v="New England"/>
    <x v="5"/>
    <n v="14740"/>
    <n v="4920380000"/>
    <n v="2219"/>
    <n v="464875000"/>
    <n v="3596"/>
    <n v="681050000"/>
    <n v="20555"/>
    <n v="6066305000"/>
    <n v="295125.52"/>
    <n v="0.062433"/>
  </r>
  <r>
    <s v="ME"/>
    <s v="Maine"/>
    <x v="1"/>
    <s v="New England"/>
    <x v="6"/>
    <n v="15586"/>
    <n v="5505160000"/>
    <n v="3615"/>
    <n v="972125000"/>
    <n v="4253"/>
    <n v="905385000"/>
    <n v="23454"/>
    <n v="7382670000"/>
    <n v="314772.32"/>
    <n v="0.074502"/>
  </r>
  <r>
    <s v="ME"/>
    <s v="Maine"/>
    <x v="1"/>
    <s v="New England"/>
    <x v="7"/>
    <n v="16396"/>
    <n v="6225970000"/>
    <n v="5336"/>
    <n v="1761740000"/>
    <n v="5231"/>
    <n v="1235105000"/>
    <n v="26963"/>
    <n v="9222815000"/>
    <n v="342054.48"/>
    <n v="0.039422"/>
  </r>
  <r>
    <s v="MD"/>
    <s v="Maryland"/>
    <x v="2"/>
    <s v="South Atlantic"/>
    <x v="0"/>
    <n v="83263"/>
    <n v="28425475000"/>
    <n v="22669"/>
    <n v="7276475000"/>
    <n v="20478"/>
    <n v="5488630000"/>
    <n v="126410"/>
    <n v="41190580000"/>
    <n v="325849.06"/>
    <n v="0.014273"/>
  </r>
  <r>
    <s v="MD"/>
    <s v="Maryland"/>
    <x v="2"/>
    <s v="South Atlantic"/>
    <x v="1"/>
    <n v="87626"/>
    <n v="30694630000"/>
    <n v="51063"/>
    <n v="19112915000"/>
    <n v="25223"/>
    <n v="7197095000"/>
    <n v="163912"/>
    <n v="57004640000"/>
    <n v="347775.88"/>
    <n v="0.032246"/>
  </r>
  <r>
    <s v="MD"/>
    <s v="Maryland"/>
    <x v="2"/>
    <s v="South Atlantic"/>
    <x v="2"/>
    <n v="96847"/>
    <n v="34979805000"/>
    <n v="169282"/>
    <n v="60091630000"/>
    <n v="35468"/>
    <n v="10748640000"/>
    <n v="301597"/>
    <n v="105820075000"/>
    <n v="350865.81"/>
    <n v="0.102182"/>
  </r>
  <r>
    <s v="MD"/>
    <s v="Maryland"/>
    <x v="2"/>
    <s v="South Atlantic"/>
    <x v="3"/>
    <n v="108698"/>
    <n v="43656570000"/>
    <n v="150733"/>
    <n v="50672895000"/>
    <n v="56697"/>
    <n v="17299095000"/>
    <n v="316128"/>
    <n v="111628560000"/>
    <n v="353111.9"/>
    <n v="0.107998"/>
  </r>
  <r>
    <s v="MD"/>
    <s v="Maryland"/>
    <x v="2"/>
    <s v="South Atlantic"/>
    <x v="4"/>
    <n v="83776"/>
    <n v="34757660000"/>
    <n v="21363"/>
    <n v="8628675000"/>
    <n v="29863"/>
    <n v="9250175000"/>
    <n v="135002"/>
    <n v="52636510000"/>
    <n v="389894.3"/>
    <n v="0.060533"/>
  </r>
  <r>
    <s v="MD"/>
    <s v="Maryland"/>
    <x v="2"/>
    <s v="South Atlantic"/>
    <x v="5"/>
    <n v="63141"/>
    <n v="25494425000"/>
    <n v="6891"/>
    <n v="3503175000"/>
    <n v="13298"/>
    <n v="3571360000"/>
    <n v="83330"/>
    <n v="32568960000"/>
    <n v="390843.15"/>
    <n v="0.053917"/>
  </r>
  <r>
    <s v="MD"/>
    <s v="Maryland"/>
    <x v="2"/>
    <s v="South Atlantic"/>
    <x v="6"/>
    <n v="65722"/>
    <n v="28135740000"/>
    <n v="13240"/>
    <n v="5757820000"/>
    <n v="16034"/>
    <n v="4132100000"/>
    <n v="94996"/>
    <n v="38025660000"/>
    <n v="400286.96"/>
    <n v="0.058991"/>
  </r>
  <r>
    <s v="MD"/>
    <s v="Maryland"/>
    <x v="2"/>
    <s v="South Atlantic"/>
    <x v="7"/>
    <n v="63681"/>
    <n v="27672195000"/>
    <n v="19769"/>
    <n v="9333205000"/>
    <n v="20125"/>
    <n v="5020215000"/>
    <n v="103575"/>
    <n v="42025615000"/>
    <n v="405750.57"/>
    <n v="0.012015"/>
  </r>
  <r>
    <s v="MA"/>
    <s v="Massachusetts"/>
    <x v="1"/>
    <s v="New England"/>
    <x v="0"/>
    <n v="87947"/>
    <n v="35463435000"/>
    <n v="28293"/>
    <n v="10020845000"/>
    <n v="29481"/>
    <n v="9144475000"/>
    <n v="145721"/>
    <n v="54628755000"/>
    <n v="374885.95"/>
    <n v="0.051898"/>
  </r>
  <r>
    <s v="MA"/>
    <s v="Massachusetts"/>
    <x v="1"/>
    <s v="New England"/>
    <x v="1"/>
    <n v="87625"/>
    <n v="37253785000"/>
    <n v="63312"/>
    <n v="25047100000"/>
    <n v="38368"/>
    <n v="13285040000"/>
    <n v="189305"/>
    <n v="75585925000"/>
    <n v="399281.19"/>
    <n v="0.053945"/>
  </r>
  <r>
    <s v="MA"/>
    <s v="Massachusetts"/>
    <x v="1"/>
    <s v="New England"/>
    <x v="2"/>
    <n v="90096"/>
    <n v="41490290000"/>
    <n v="171749"/>
    <n v="64818315000"/>
    <n v="61662"/>
    <n v="21875550000"/>
    <n v="323507"/>
    <n v="128184155000"/>
    <n v="396233.02"/>
    <n v="0.111851"/>
  </r>
  <r>
    <s v="MA"/>
    <s v="Massachusetts"/>
    <x v="1"/>
    <s v="New England"/>
    <x v="3"/>
    <n v="97726"/>
    <n v="50879280000"/>
    <n v="142746"/>
    <n v="54875180000"/>
    <n v="77448"/>
    <n v="27872750000"/>
    <n v="317920"/>
    <n v="133627210000"/>
    <n v="420317.09"/>
    <n v="0.145"/>
  </r>
  <r>
    <s v="MA"/>
    <s v="Massachusetts"/>
    <x v="1"/>
    <s v="New England"/>
    <x v="4"/>
    <n v="79929"/>
    <n v="44890595000"/>
    <n v="26653"/>
    <n v="12826745000"/>
    <n v="30945"/>
    <n v="12314685000"/>
    <n v="137527"/>
    <n v="70032025000"/>
    <n v="509223.83"/>
    <n v="0.050164"/>
  </r>
  <r>
    <s v="MA"/>
    <s v="Massachusetts"/>
    <x v="1"/>
    <s v="New England"/>
    <x v="5"/>
    <n v="58441"/>
    <n v="31640945000"/>
    <n v="11370"/>
    <n v="4255650000"/>
    <n v="11094"/>
    <n v="3577300000"/>
    <n v="80905"/>
    <n v="39473895000"/>
    <n v="487904.27"/>
    <n v="0.087184"/>
  </r>
  <r>
    <s v="MA"/>
    <s v="Massachusetts"/>
    <x v="1"/>
    <s v="New England"/>
    <x v="6"/>
    <n v="60686"/>
    <n v="34093990000"/>
    <n v="16548"/>
    <n v="7636240000"/>
    <n v="13101"/>
    <n v="4253705000"/>
    <n v="90335"/>
    <n v="45983935000"/>
    <n v="509037.86"/>
    <n v="0.055343"/>
  </r>
  <r>
    <s v="MA"/>
    <s v="Massachusetts"/>
    <x v="1"/>
    <s v="New England"/>
    <x v="7"/>
    <n v="62800"/>
    <n v="37957100000"/>
    <n v="25976"/>
    <n v="14208900000"/>
    <n v="16765"/>
    <n v="5956875000"/>
    <n v="105541"/>
    <n v="58122875000"/>
    <n v="550713.7"/>
    <n v="0.02473"/>
  </r>
  <r>
    <s v="MI"/>
    <s v="Michigan"/>
    <x v="0"/>
    <s v="East North Central"/>
    <x v="0"/>
    <n v="132104"/>
    <n v="24958510000"/>
    <n v="37110"/>
    <n v="7534530000"/>
    <n v="42808"/>
    <n v="6844880000"/>
    <n v="212022"/>
    <n v="39337920000"/>
    <n v="185536.97"/>
    <n v="0.068625"/>
  </r>
  <r>
    <s v="MI"/>
    <s v="Michigan"/>
    <x v="0"/>
    <s v="East North Central"/>
    <x v="1"/>
    <n v="133386"/>
    <n v="26389140000"/>
    <n v="73082"/>
    <n v="16000250000"/>
    <n v="52889"/>
    <n v="9332585000"/>
    <n v="259357"/>
    <n v="51721975000"/>
    <n v="199423.86"/>
    <n v="0.056864"/>
  </r>
  <r>
    <s v="MI"/>
    <s v="Michigan"/>
    <x v="0"/>
    <s v="East North Central"/>
    <x v="2"/>
    <n v="138158"/>
    <n v="29222620000"/>
    <n v="207231"/>
    <n v="45565815000"/>
    <n v="75281"/>
    <n v="14658485000"/>
    <n v="420670"/>
    <n v="89446920000"/>
    <n v="212629.66"/>
    <n v="0.111342"/>
  </r>
  <r>
    <s v="MI"/>
    <s v="Michigan"/>
    <x v="0"/>
    <s v="East North Central"/>
    <x v="3"/>
    <n v="150788"/>
    <n v="35674250000"/>
    <n v="174886"/>
    <n v="37144690000"/>
    <n v="100227"/>
    <n v="19392775000"/>
    <n v="425901"/>
    <n v="92211715000"/>
    <n v="216509.74"/>
    <n v="0.148944"/>
  </r>
  <r>
    <s v="MI"/>
    <s v="Michigan"/>
    <x v="0"/>
    <s v="East North Central"/>
    <x v="4"/>
    <n v="127236"/>
    <n v="32316320000"/>
    <n v="34016"/>
    <n v="7977270000"/>
    <n v="51447"/>
    <n v="9815015000"/>
    <n v="212699"/>
    <n v="50108605000"/>
    <n v="235584.58"/>
    <n v="0.062741"/>
  </r>
  <r>
    <s v="MI"/>
    <s v="Michigan"/>
    <x v="0"/>
    <s v="East North Central"/>
    <x v="5"/>
    <n v="102534"/>
    <n v="25523630000"/>
    <n v="14300"/>
    <n v="3969130000"/>
    <n v="24630"/>
    <n v="3990090000"/>
    <n v="141464"/>
    <n v="33482850000"/>
    <n v="236688.13"/>
    <n v="0.088399"/>
  </r>
  <r>
    <s v="MI"/>
    <s v="Michigan"/>
    <x v="0"/>
    <s v="East North Central"/>
    <x v="6"/>
    <n v="105614"/>
    <n v="27532540000"/>
    <n v="24908"/>
    <n v="6160960000"/>
    <n v="28518"/>
    <n v="5324120000"/>
    <n v="159040"/>
    <n v="39017620000"/>
    <n v="245332.12"/>
    <n v="0.050737"/>
  </r>
  <r>
    <s v="MI"/>
    <s v="Michigan"/>
    <x v="0"/>
    <s v="East North Central"/>
    <x v="7"/>
    <n v="107241"/>
    <n v="32839945000"/>
    <n v="36765"/>
    <n v="11374405000"/>
    <n v="35578"/>
    <n v="7636200000"/>
    <n v="179584"/>
    <n v="51850550000"/>
    <n v="288725.89"/>
    <n v="0.05854"/>
  </r>
  <r>
    <s v="MN"/>
    <s v="Minnesota"/>
    <x v="0"/>
    <s v="West North Central"/>
    <x v="0"/>
    <n v="88464"/>
    <n v="22007450000"/>
    <n v="23032"/>
    <n v="5367600000"/>
    <n v="20914"/>
    <n v="4386410000"/>
    <n v="132410"/>
    <n v="31761460000"/>
    <n v="239872.06"/>
    <n v="0.054614"/>
  </r>
  <r>
    <s v="MN"/>
    <s v="Minnesota"/>
    <x v="0"/>
    <s v="West North Central"/>
    <x v="1"/>
    <n v="92077"/>
    <n v="23986895000"/>
    <n v="45596"/>
    <n v="12055140000"/>
    <n v="29805"/>
    <n v="6838345000"/>
    <n v="167478"/>
    <n v="42880380000"/>
    <n v="256035.9"/>
    <n v="0.056821"/>
  </r>
  <r>
    <s v="MN"/>
    <s v="Minnesota"/>
    <x v="0"/>
    <s v="West North Central"/>
    <x v="2"/>
    <n v="99117"/>
    <n v="27499545000"/>
    <n v="146039"/>
    <n v="38020805000"/>
    <n v="51635"/>
    <n v="12403935000"/>
    <n v="296791"/>
    <n v="77924285000"/>
    <n v="262556.09"/>
    <n v="0.09584"/>
  </r>
  <r>
    <s v="MN"/>
    <s v="Minnesota"/>
    <x v="0"/>
    <s v="West North Central"/>
    <x v="3"/>
    <n v="103218"/>
    <n v="31942270000"/>
    <n v="114056"/>
    <n v="28032350000"/>
    <n v="61894"/>
    <n v="14924450000"/>
    <n v="279168"/>
    <n v="74899070000"/>
    <n v="268293.89"/>
    <n v="0.122799"/>
  </r>
  <r>
    <s v="MN"/>
    <s v="Minnesota"/>
    <x v="0"/>
    <s v="West North Central"/>
    <x v="4"/>
    <n v="82006"/>
    <n v="27484190000"/>
    <n v="20375"/>
    <n v="4820495000"/>
    <n v="21954"/>
    <n v="5609810000"/>
    <n v="124335"/>
    <n v="37914495000"/>
    <n v="304938.23"/>
    <n v="0.044687"/>
  </r>
  <r>
    <s v="MN"/>
    <s v="Minnesota"/>
    <x v="0"/>
    <s v="West North Central"/>
    <x v="5"/>
    <n v="65353"/>
    <n v="20944985000"/>
    <n v="7682"/>
    <n v="2143880000"/>
    <n v="8176"/>
    <n v="1771400000"/>
    <n v="81211"/>
    <n v="24860265000"/>
    <n v="306119.43"/>
    <n v="0.042144"/>
  </r>
  <r>
    <s v="MN"/>
    <s v="Minnesota"/>
    <x v="0"/>
    <s v="West North Central"/>
    <x v="6"/>
    <n v="68577"/>
    <n v="21801795000"/>
    <n v="10815"/>
    <n v="3327475000"/>
    <n v="9838"/>
    <n v="2208010000"/>
    <n v="89230"/>
    <n v="27337280000"/>
    <n v="306368.71"/>
    <n v="0.04599"/>
  </r>
  <r>
    <s v="MN"/>
    <s v="Minnesota"/>
    <x v="0"/>
    <s v="West North Central"/>
    <x v="7"/>
    <n v="68946"/>
    <n v="24045410000"/>
    <n v="17012"/>
    <n v="6373890000"/>
    <n v="12751"/>
    <n v="3085125000"/>
    <n v="98709"/>
    <n v="33504425000"/>
    <n v="339426.24"/>
    <n v="0.032849"/>
  </r>
  <r>
    <s v="MS"/>
    <s v="Mississippi"/>
    <x v="2"/>
    <s v="East South Central"/>
    <x v="0"/>
    <n v="29922"/>
    <n v="5038820000"/>
    <n v="11903"/>
    <n v="1576885000"/>
    <n v="5290"/>
    <n v="762170000"/>
    <n v="47115"/>
    <n v="7377875000"/>
    <n v="156592.91"/>
    <n v="0.05883"/>
  </r>
  <r>
    <s v="MS"/>
    <s v="Mississippi"/>
    <x v="2"/>
    <s v="East South Central"/>
    <x v="1"/>
    <n v="31779"/>
    <n v="5477985000"/>
    <n v="13946"/>
    <n v="2516950000"/>
    <n v="5892"/>
    <n v="1041040000"/>
    <n v="51617"/>
    <n v="9035975000"/>
    <n v="175058.12"/>
    <n v="0.031616"/>
  </r>
  <r>
    <s v="MS"/>
    <s v="Mississippi"/>
    <x v="2"/>
    <s v="East South Central"/>
    <x v="2"/>
    <n v="35572"/>
    <n v="6706270000"/>
    <n v="30738"/>
    <n v="5987700000"/>
    <n v="7225"/>
    <n v="1433805000"/>
    <n v="73535"/>
    <n v="14127775000"/>
    <n v="192123.14"/>
    <n v="0.07939"/>
  </r>
  <r>
    <s v="MS"/>
    <s v="Mississippi"/>
    <x v="2"/>
    <s v="East South Central"/>
    <x v="3"/>
    <n v="39147"/>
    <n v="8376025000"/>
    <n v="28933"/>
    <n v="5570775000"/>
    <n v="10566"/>
    <n v="1936640000"/>
    <n v="78646"/>
    <n v="15883440000"/>
    <n v="201961.19"/>
    <n v="0.154781"/>
  </r>
  <r>
    <s v="MS"/>
    <s v="Mississippi"/>
    <x v="2"/>
    <s v="East South Central"/>
    <x v="4"/>
    <n v="33645"/>
    <n v="7840335000"/>
    <n v="10831"/>
    <n v="2222975000"/>
    <n v="7960"/>
    <n v="1453180000"/>
    <n v="52436"/>
    <n v="11516490000"/>
    <n v="219629.45"/>
    <n v="0.074105"/>
  </r>
  <r>
    <s v="MS"/>
    <s v="Mississippi"/>
    <x v="2"/>
    <s v="East South Central"/>
    <x v="5"/>
    <n v="27486"/>
    <n v="6179690000"/>
    <n v="7219"/>
    <n v="1127995000"/>
    <n v="4342"/>
    <n v="724630000"/>
    <n v="39047"/>
    <n v="8032315000"/>
    <n v="205708.89"/>
    <n v="0.10409"/>
  </r>
  <r>
    <s v="MS"/>
    <s v="Mississippi"/>
    <x v="2"/>
    <s v="East South Central"/>
    <x v="6"/>
    <n v="28640"/>
    <n v="6396880000"/>
    <n v="8970"/>
    <n v="1543400000"/>
    <n v="4498"/>
    <n v="755390000"/>
    <n v="42108"/>
    <n v="8695670000"/>
    <n v="206508.74"/>
    <n v="-0.006794"/>
  </r>
  <r>
    <s v="MS"/>
    <s v="Mississippi"/>
    <x v="2"/>
    <s v="East South Central"/>
    <x v="7"/>
    <n v="30006"/>
    <n v="6973120000"/>
    <n v="11099"/>
    <n v="2199455000"/>
    <n v="5343"/>
    <n v="988695000"/>
    <n v="46448"/>
    <n v="10161270000"/>
    <n v="218766.58"/>
    <n v="0.030845"/>
  </r>
  <r>
    <s v="MO"/>
    <s v="Missouri"/>
    <x v="0"/>
    <s v="West North Central"/>
    <x v="0"/>
    <n v="90705"/>
    <n v="17223595000"/>
    <n v="23218"/>
    <n v="4135050000"/>
    <n v="18275"/>
    <n v="3273865000"/>
    <n v="132198"/>
    <n v="24632510000"/>
    <n v="186330.43"/>
    <n v="0.06051"/>
  </r>
  <r>
    <s v="MO"/>
    <s v="Missouri"/>
    <x v="0"/>
    <s v="West North Central"/>
    <x v="1"/>
    <n v="93134"/>
    <n v="18342220000"/>
    <n v="41799"/>
    <n v="9538675000"/>
    <n v="24801"/>
    <n v="4881705000"/>
    <n v="159734"/>
    <n v="32762600000"/>
    <n v="205107.24"/>
    <n v="0.060645"/>
  </r>
  <r>
    <s v="MO"/>
    <s v="Missouri"/>
    <x v="0"/>
    <s v="West North Central"/>
    <x v="2"/>
    <n v="102574"/>
    <n v="22159080000"/>
    <n v="120152"/>
    <n v="26899520000"/>
    <n v="36452"/>
    <n v="7796930000"/>
    <n v="259178"/>
    <n v="56855530000"/>
    <n v="219368.66"/>
    <n v="0.104047"/>
  </r>
  <r>
    <s v="MO"/>
    <s v="Missouri"/>
    <x v="0"/>
    <s v="West North Central"/>
    <x v="3"/>
    <n v="107585"/>
    <n v="25459385000"/>
    <n v="100636"/>
    <n v="21109810000"/>
    <n v="47797"/>
    <n v="9816585000"/>
    <n v="256018"/>
    <n v="56385780000"/>
    <n v="220241.47"/>
    <n v="0.151975"/>
  </r>
  <r>
    <s v="MO"/>
    <s v="Missouri"/>
    <x v="0"/>
    <s v="West North Central"/>
    <x v="4"/>
    <n v="91059"/>
    <n v="23738655000"/>
    <n v="22168"/>
    <n v="5268090000"/>
    <n v="26286"/>
    <n v="5409120000"/>
    <n v="139513"/>
    <n v="34415865000"/>
    <n v="246685.72"/>
    <n v="0.082252"/>
  </r>
  <r>
    <s v="MO"/>
    <s v="Missouri"/>
    <x v="0"/>
    <s v="West North Central"/>
    <x v="5"/>
    <n v="74981"/>
    <n v="19527995000"/>
    <n v="10474"/>
    <n v="2411350000"/>
    <n v="12230"/>
    <n v="2517170000"/>
    <n v="97685"/>
    <n v="24456515000"/>
    <n v="250361.01"/>
    <n v="0.070647"/>
  </r>
  <r>
    <s v="MO"/>
    <s v="Missouri"/>
    <x v="0"/>
    <s v="West North Central"/>
    <x v="6"/>
    <n v="77048"/>
    <n v="20577810000"/>
    <n v="17566"/>
    <n v="4716210000"/>
    <n v="15086"/>
    <n v="2965470000"/>
    <n v="109700"/>
    <n v="28259490000"/>
    <n v="257607.02"/>
    <n v="0.053062"/>
  </r>
  <r>
    <s v="MO"/>
    <s v="Missouri"/>
    <x v="0"/>
    <s v="West North Central"/>
    <x v="7"/>
    <n v="79711"/>
    <n v="22240705000"/>
    <n v="24885"/>
    <n v="7585905000"/>
    <n v="18826"/>
    <n v="3821640000"/>
    <n v="123422"/>
    <n v="33648250000"/>
    <n v="272627.65"/>
    <n v="0.046366"/>
  </r>
  <r>
    <s v="MT"/>
    <s v="Montana"/>
    <x v="3"/>
    <s v="Mountain"/>
    <x v="0"/>
    <n v="15206"/>
    <n v="3936460000"/>
    <n v="3211"/>
    <n v="702795000"/>
    <n v="4292"/>
    <n v="874310000"/>
    <n v="22709"/>
    <n v="5513565000"/>
    <n v="242792.06"/>
    <n v="0.044876"/>
  </r>
  <r>
    <s v="MT"/>
    <s v="Montana"/>
    <x v="3"/>
    <s v="Mountain"/>
    <x v="1"/>
    <n v="16123"/>
    <n v="4400495000"/>
    <n v="5938"/>
    <n v="1671420000"/>
    <n v="5390"/>
    <n v="1299690000"/>
    <n v="27451"/>
    <n v="7371605000"/>
    <n v="268536.85"/>
    <n v="0.068148"/>
  </r>
  <r>
    <s v="MT"/>
    <s v="Montana"/>
    <x v="3"/>
    <s v="Mountain"/>
    <x v="2"/>
    <n v="18867"/>
    <n v="5895745000"/>
    <n v="20631"/>
    <n v="5674555000"/>
    <n v="8642"/>
    <n v="2291190000"/>
    <n v="48140"/>
    <n v="13861490000"/>
    <n v="287941.21"/>
    <n v="0.149749"/>
  </r>
  <r>
    <s v="MT"/>
    <s v="Montana"/>
    <x v="3"/>
    <s v="Mountain"/>
    <x v="3"/>
    <n v="18714"/>
    <n v="7070260000"/>
    <n v="16691"/>
    <n v="4495665000"/>
    <n v="12279"/>
    <n v="3629895000"/>
    <n v="47684"/>
    <n v="15195820000"/>
    <n v="318677.54"/>
    <n v="0.241079"/>
  </r>
  <r>
    <s v="MT"/>
    <s v="Montana"/>
    <x v="3"/>
    <s v="Mountain"/>
    <x v="4"/>
    <n v="14037"/>
    <n v="6314185000"/>
    <n v="3512"/>
    <n v="1172730000"/>
    <n v="5768"/>
    <n v="2038050000"/>
    <n v="23317"/>
    <n v="9524965000"/>
    <n v="408498.73"/>
    <n v="0.104035"/>
  </r>
  <r>
    <s v="MT"/>
    <s v="Montana"/>
    <x v="3"/>
    <s v="Mountain"/>
    <x v="5"/>
    <n v="10662"/>
    <n v="4429370000"/>
    <n v="1439"/>
    <n v="457125000"/>
    <n v="2024"/>
    <n v="563130000"/>
    <n v="14125"/>
    <n v="5449625000"/>
    <n v="385814.16"/>
    <n v="0.041185"/>
  </r>
  <r>
    <s v="MT"/>
    <s v="Montana"/>
    <x v="3"/>
    <s v="Mountain"/>
    <x v="6"/>
    <n v="10661"/>
    <n v="4504585000"/>
    <n v="2427"/>
    <n v="888425000"/>
    <n v="2581"/>
    <n v="753415000"/>
    <n v="15669"/>
    <n v="6146425000"/>
    <n v="392266.58"/>
    <n v="0.07769"/>
  </r>
  <r>
    <s v="MT"/>
    <s v="Montana"/>
    <x v="3"/>
    <s v="Mountain"/>
    <x v="7"/>
    <n v="11766"/>
    <n v="5329190000"/>
    <n v="3796"/>
    <n v="1826900000"/>
    <n v="3399"/>
    <n v="1033825000"/>
    <n v="18961"/>
    <n v="8189915000"/>
    <n v="431934.76"/>
    <n v="-0.012407"/>
  </r>
  <r>
    <s v="NE"/>
    <s v="Nebraska"/>
    <x v="0"/>
    <s v="West North Central"/>
    <x v="0"/>
    <n v="27652"/>
    <n v="5348330000"/>
    <n v="6896"/>
    <n v="1123310000"/>
    <n v="5724"/>
    <n v="938050000"/>
    <n v="40272"/>
    <n v="7409690000"/>
    <n v="183991.11"/>
    <n v="0.052944"/>
  </r>
  <r>
    <s v="NE"/>
    <s v="Nebraska"/>
    <x v="0"/>
    <s v="West North Central"/>
    <x v="1"/>
    <n v="28026"/>
    <n v="5633590000"/>
    <n v="12710"/>
    <n v="2692230000"/>
    <n v="7369"/>
    <n v="1387535000"/>
    <n v="48105"/>
    <n v="9713355000"/>
    <n v="201919.86"/>
    <n v="0.044073"/>
  </r>
  <r>
    <s v="NE"/>
    <s v="Nebraska"/>
    <x v="0"/>
    <s v="West North Central"/>
    <x v="2"/>
    <n v="29862"/>
    <n v="6475470000"/>
    <n v="37559"/>
    <n v="8206055000"/>
    <n v="12754"/>
    <n v="2570270000"/>
    <n v="80175"/>
    <n v="17251795000"/>
    <n v="215176.74"/>
    <n v="0.11313"/>
  </r>
  <r>
    <s v="NE"/>
    <s v="Nebraska"/>
    <x v="0"/>
    <s v="West North Central"/>
    <x v="3"/>
    <n v="30837"/>
    <n v="7208165000"/>
    <n v="28717"/>
    <n v="5795455000"/>
    <n v="14981"/>
    <n v="2966035000"/>
    <n v="74535"/>
    <n v="15969655000"/>
    <n v="214257.13"/>
    <n v="0.1446"/>
  </r>
  <r>
    <s v="NE"/>
    <s v="Nebraska"/>
    <x v="0"/>
    <s v="West North Central"/>
    <x v="4"/>
    <n v="26325"/>
    <n v="7169545000"/>
    <n v="6121"/>
    <n v="1357795000"/>
    <n v="7005"/>
    <n v="1394635000"/>
    <n v="39451"/>
    <n v="9921975000"/>
    <n v="251501.23"/>
    <n v="0.083521"/>
  </r>
  <r>
    <s v="NE"/>
    <s v="Nebraska"/>
    <x v="0"/>
    <s v="West North Central"/>
    <x v="5"/>
    <n v="22416"/>
    <n v="5985430000"/>
    <n v="3024"/>
    <n v="604150000"/>
    <n v="3301"/>
    <n v="559615000"/>
    <n v="28741"/>
    <n v="7149195000"/>
    <n v="248745.52"/>
    <n v="0.047329"/>
  </r>
  <r>
    <s v="NE"/>
    <s v="Nebraska"/>
    <x v="0"/>
    <s v="West North Central"/>
    <x v="6"/>
    <n v="22943"/>
    <n v="6380255000"/>
    <n v="4602"/>
    <n v="1128900000"/>
    <n v="3881"/>
    <n v="739725000"/>
    <n v="31426"/>
    <n v="8248880000"/>
    <n v="262485.84"/>
    <n v="0.071771"/>
  </r>
  <r>
    <s v="NE"/>
    <s v="Nebraska"/>
    <x v="0"/>
    <s v="West North Central"/>
    <x v="7"/>
    <n v="24507"/>
    <n v="7594355000"/>
    <n v="7330"/>
    <n v="2137590000"/>
    <n v="5048"/>
    <n v="1033860000"/>
    <n v="36885"/>
    <n v="10765805000"/>
    <n v="291874.88"/>
    <n v="0.023143"/>
  </r>
  <r>
    <s v="NV"/>
    <s v="Nevada"/>
    <x v="3"/>
    <s v="Mountain"/>
    <x v="0"/>
    <n v="56936"/>
    <n v="16630820000"/>
    <n v="11726"/>
    <n v="3711560000"/>
    <n v="18904"/>
    <n v="4439860000"/>
    <n v="87566"/>
    <n v="24782240000"/>
    <n v="283012.13"/>
    <n v="0.100194"/>
  </r>
  <r>
    <s v="NV"/>
    <s v="Nevada"/>
    <x v="3"/>
    <s v="Mountain"/>
    <x v="1"/>
    <n v="55330"/>
    <n v="17466870000"/>
    <n v="31014"/>
    <n v="9637790000"/>
    <n v="24713"/>
    <n v="6468535000"/>
    <n v="111057"/>
    <n v="33573195000"/>
    <n v="302305.98"/>
    <n v="0.044329"/>
  </r>
  <r>
    <s v="NV"/>
    <s v="Nevada"/>
    <x v="3"/>
    <s v="Mountain"/>
    <x v="2"/>
    <n v="58095"/>
    <n v="18347975000"/>
    <n v="86474"/>
    <n v="25446290000"/>
    <n v="27974"/>
    <n v="7674230000"/>
    <n v="172543"/>
    <n v="51468495000"/>
    <n v="298293.73"/>
    <n v="0.106814"/>
  </r>
  <r>
    <s v="NV"/>
    <s v="Nevada"/>
    <x v="3"/>
    <s v="Mountain"/>
    <x v="3"/>
    <n v="66645"/>
    <n v="24551585000"/>
    <n v="71263"/>
    <n v="20432215000"/>
    <n v="40535"/>
    <n v="12183765000"/>
    <n v="178443"/>
    <n v="57167565000"/>
    <n v="320368.77"/>
    <n v="0.231992"/>
  </r>
  <r>
    <s v="NV"/>
    <s v="Nevada"/>
    <x v="3"/>
    <s v="Mountain"/>
    <x v="4"/>
    <n v="46754"/>
    <n v="19865180000"/>
    <n v="9936"/>
    <n v="3903290000"/>
    <n v="21037"/>
    <n v="6942765000"/>
    <n v="77727"/>
    <n v="30711235000"/>
    <n v="395116.69"/>
    <n v="0.029086"/>
  </r>
  <r>
    <s v="NV"/>
    <s v="Nevada"/>
    <x v="3"/>
    <s v="Mountain"/>
    <x v="5"/>
    <n v="37832"/>
    <n v="15293110000"/>
    <n v="2413"/>
    <n v="1447835000"/>
    <n v="6537"/>
    <n v="1802665000"/>
    <n v="46782"/>
    <n v="18543610000"/>
    <n v="396383.44"/>
    <n v="0.035683"/>
  </r>
  <r>
    <s v="NV"/>
    <s v="Nevada"/>
    <x v="3"/>
    <s v="Mountain"/>
    <x v="6"/>
    <n v="40791"/>
    <n v="17100725000"/>
    <n v="6020"/>
    <n v="3524510000"/>
    <n v="8512"/>
    <n v="2276460000"/>
    <n v="55323"/>
    <n v="22901695000"/>
    <n v="413963.36"/>
    <n v="0.061365"/>
  </r>
  <r>
    <s v="NV"/>
    <s v="Nevada"/>
    <x v="3"/>
    <s v="Mountain"/>
    <x v="7"/>
    <n v="38593"/>
    <n v="17129075000"/>
    <n v="9067"/>
    <n v="4721495000"/>
    <n v="10899"/>
    <n v="2983765000"/>
    <n v="58559"/>
    <n v="24834335000"/>
    <n v="424090.83"/>
    <n v="0.007058"/>
  </r>
  <r>
    <s v="NH"/>
    <s v="New Hampshire"/>
    <x v="1"/>
    <s v="New England"/>
    <x v="0"/>
    <n v="20544"/>
    <n v="5333880000"/>
    <n v="5290"/>
    <n v="1264530000"/>
    <n v="6037"/>
    <n v="1272365000"/>
    <n v="31871"/>
    <n v="7870775000"/>
    <n v="246957.27"/>
    <n v="0.056091"/>
  </r>
  <r>
    <s v="NH"/>
    <s v="New Hampshire"/>
    <x v="1"/>
    <s v="New England"/>
    <x v="1"/>
    <n v="21083"/>
    <n v="5849905000"/>
    <n v="11508"/>
    <n v="3187000000"/>
    <n v="7473"/>
    <n v="1784045000"/>
    <n v="40064"/>
    <n v="10820950000"/>
    <n v="270091.6"/>
    <n v="0.055404"/>
  </r>
  <r>
    <s v="NH"/>
    <s v="New Hampshire"/>
    <x v="1"/>
    <s v="New England"/>
    <x v="2"/>
    <n v="22346"/>
    <n v="6764870000"/>
    <n v="32968"/>
    <n v="8992920000"/>
    <n v="12809"/>
    <n v="3409465000"/>
    <n v="68123"/>
    <n v="19167255000"/>
    <n v="281362.46"/>
    <n v="0.143124"/>
  </r>
  <r>
    <s v="NH"/>
    <s v="New Hampshire"/>
    <x v="1"/>
    <s v="New England"/>
    <x v="3"/>
    <n v="22013"/>
    <n v="7710545000"/>
    <n v="28600"/>
    <n v="7994880000"/>
    <n v="18257"/>
    <n v="4949795000"/>
    <n v="68870"/>
    <n v="20655220000"/>
    <n v="299916.07"/>
    <n v="0.180258"/>
  </r>
  <r>
    <s v="NH"/>
    <s v="New Hampshire"/>
    <x v="1"/>
    <s v="New England"/>
    <x v="4"/>
    <n v="18052"/>
    <n v="7414910000"/>
    <n v="5197"/>
    <n v="1640445000"/>
    <n v="8136"/>
    <n v="2345380000"/>
    <n v="31385"/>
    <n v="11400735000"/>
    <n v="363254.26"/>
    <n v="0.09315"/>
  </r>
  <r>
    <s v="NH"/>
    <s v="New Hampshire"/>
    <x v="1"/>
    <s v="New England"/>
    <x v="5"/>
    <n v="13703"/>
    <n v="5413335000"/>
    <n v="2216"/>
    <n v="623460000"/>
    <n v="3736"/>
    <n v="852150000"/>
    <n v="19655"/>
    <n v="6888945000"/>
    <n v="350493.26"/>
    <n v="0.091799"/>
  </r>
  <r>
    <s v="NH"/>
    <s v="New Hampshire"/>
    <x v="1"/>
    <s v="New England"/>
    <x v="6"/>
    <n v="14195"/>
    <n v="6106775000"/>
    <n v="3579"/>
    <n v="1229165000"/>
    <n v="4091"/>
    <n v="1094045000"/>
    <n v="21865"/>
    <n v="8429985000"/>
    <n v="385546.99"/>
    <n v="0.075209"/>
  </r>
  <r>
    <s v="NH"/>
    <s v="New Hampshire"/>
    <x v="1"/>
    <s v="New England"/>
    <x v="7"/>
    <n v="15283"/>
    <n v="7014585000"/>
    <n v="6243"/>
    <n v="2743905000"/>
    <n v="5403"/>
    <n v="1506785000"/>
    <n v="26929"/>
    <n v="11265275000"/>
    <n v="418332.47"/>
    <n v="0.038506"/>
  </r>
  <r>
    <s v="NJ"/>
    <s v="New Jersey"/>
    <x v="1"/>
    <s v="Middle Atlantic"/>
    <x v="0"/>
    <n v="104036"/>
    <n v="35981880000"/>
    <n v="29725"/>
    <n v="10022575000"/>
    <n v="26358"/>
    <n v="7633570000"/>
    <n v="160119"/>
    <n v="53638025000"/>
    <n v="334988.51"/>
    <n v="0.035622"/>
  </r>
  <r>
    <s v="NJ"/>
    <s v="New Jersey"/>
    <x v="1"/>
    <s v="Middle Atlantic"/>
    <x v="1"/>
    <n v="106637"/>
    <n v="37816675000"/>
    <n v="60757"/>
    <n v="23845335000"/>
    <n v="31883"/>
    <n v="10327665000"/>
    <n v="199277"/>
    <n v="71989675000"/>
    <n v="361254.31"/>
    <n v="0.046998"/>
  </r>
  <r>
    <s v="NJ"/>
    <s v="New Jersey"/>
    <x v="1"/>
    <s v="Middle Atlantic"/>
    <x v="2"/>
    <n v="119244"/>
    <n v="45250350000"/>
    <n v="183445"/>
    <n v="65356265000"/>
    <n v="43718"/>
    <n v="14292730000"/>
    <n v="346407"/>
    <n v="124899345000"/>
    <n v="360556.64"/>
    <n v="0.120857"/>
  </r>
  <r>
    <s v="NJ"/>
    <s v="New Jersey"/>
    <x v="1"/>
    <s v="Middle Atlantic"/>
    <x v="3"/>
    <n v="131938"/>
    <n v="57198650000"/>
    <n v="163193"/>
    <n v="56860965000"/>
    <n v="71689"/>
    <n v="24004355000"/>
    <n v="366820"/>
    <n v="138063970000"/>
    <n v="376380.7"/>
    <n v="0.150044"/>
  </r>
  <r>
    <s v="NJ"/>
    <s v="New Jersey"/>
    <x v="1"/>
    <s v="Middle Atlantic"/>
    <x v="4"/>
    <n v="103594"/>
    <n v="47369850000"/>
    <n v="27862"/>
    <n v="13203710000"/>
    <n v="35227"/>
    <n v="11972625000"/>
    <n v="166683"/>
    <n v="72546185000"/>
    <n v="435234.46"/>
    <n v="0.080391"/>
  </r>
  <r>
    <s v="NJ"/>
    <s v="New Jersey"/>
    <x v="1"/>
    <s v="Middle Atlantic"/>
    <x v="5"/>
    <n v="77967"/>
    <n v="35689095000"/>
    <n v="11167"/>
    <n v="5216465000"/>
    <n v="16979"/>
    <n v="4924275000"/>
    <n v="106113"/>
    <n v="45829835000"/>
    <n v="431896.52"/>
    <n v="0.112325"/>
  </r>
  <r>
    <s v="NJ"/>
    <s v="New Jersey"/>
    <x v="1"/>
    <s v="Middle Atlantic"/>
    <x v="6"/>
    <n v="79924"/>
    <n v="39031570000"/>
    <n v="17977"/>
    <n v="8637925000"/>
    <n v="22630"/>
    <n v="6772910000"/>
    <n v="120531"/>
    <n v="54442405000"/>
    <n v="451687.99"/>
    <n v="0.087198"/>
  </r>
  <r>
    <s v="NJ"/>
    <s v="New Jersey"/>
    <x v="1"/>
    <s v="Middle Atlantic"/>
    <x v="7"/>
    <n v="81024"/>
    <n v="43015600000"/>
    <n v="28203"/>
    <n v="15676095000"/>
    <n v="30380"/>
    <n v="9887340000"/>
    <n v="139607"/>
    <n v="68579035000"/>
    <n v="491229.2"/>
    <n v="0.049905"/>
  </r>
  <r>
    <s v="NM"/>
    <s v="New Mexico"/>
    <x v="3"/>
    <s v="Mountain"/>
    <x v="0"/>
    <n v="25414"/>
    <n v="5280490000"/>
    <n v="4897"/>
    <n v="991855000"/>
    <n v="5455"/>
    <n v="1024985000"/>
    <n v="35766"/>
    <n v="7297330000"/>
    <n v="204029.8"/>
    <n v="0.040888"/>
  </r>
  <r>
    <s v="NM"/>
    <s v="New Mexico"/>
    <x v="3"/>
    <s v="Mountain"/>
    <x v="1"/>
    <n v="27068"/>
    <n v="5795450000"/>
    <n v="8841"/>
    <n v="2140135000"/>
    <n v="6531"/>
    <n v="1310475000"/>
    <n v="42440"/>
    <n v="9246060000"/>
    <n v="217861.92"/>
    <n v="0.054617"/>
  </r>
  <r>
    <s v="NM"/>
    <s v="New Mexico"/>
    <x v="3"/>
    <s v="Mountain"/>
    <x v="2"/>
    <n v="30030"/>
    <n v="6838780000"/>
    <n v="29339"/>
    <n v="6843695000"/>
    <n v="8897"/>
    <n v="1966735000"/>
    <n v="68266"/>
    <n v="15649210000"/>
    <n v="229238.71"/>
    <n v="0.115241"/>
  </r>
  <r>
    <s v="NM"/>
    <s v="New Mexico"/>
    <x v="3"/>
    <s v="Mountain"/>
    <x v="3"/>
    <n v="32454"/>
    <n v="8325350000"/>
    <n v="27712"/>
    <n v="6111380000"/>
    <n v="13476"/>
    <n v="3046450000"/>
    <n v="73642"/>
    <n v="17483180000"/>
    <n v="237407.73"/>
    <n v="0.149212"/>
  </r>
  <r>
    <s v="NM"/>
    <s v="New Mexico"/>
    <x v="3"/>
    <s v="Mountain"/>
    <x v="4"/>
    <n v="26138"/>
    <n v="7403680000"/>
    <n v="5137"/>
    <n v="1231155000"/>
    <n v="8855"/>
    <n v="2002065000"/>
    <n v="40130"/>
    <n v="10636900000"/>
    <n v="265061.05"/>
    <n v="0.096742"/>
  </r>
  <r>
    <s v="NM"/>
    <s v="New Mexico"/>
    <x v="3"/>
    <s v="Mountain"/>
    <x v="5"/>
    <n v="20924"/>
    <n v="5866490000"/>
    <n v="1793"/>
    <n v="683655000"/>
    <n v="3920"/>
    <n v="792080000"/>
    <n v="26637"/>
    <n v="7342225000"/>
    <n v="275640.09"/>
    <n v="0.051891"/>
  </r>
  <r>
    <s v="NM"/>
    <s v="New Mexico"/>
    <x v="3"/>
    <s v="Mountain"/>
    <x v="6"/>
    <n v="22953"/>
    <n v="6210085000"/>
    <n v="3445"/>
    <n v="1319365000"/>
    <n v="4729"/>
    <n v="951795000"/>
    <n v="31127"/>
    <n v="8481245000"/>
    <n v="272472.29"/>
    <n v="0.059218"/>
  </r>
  <r>
    <s v="NM"/>
    <s v="New Mexico"/>
    <x v="3"/>
    <s v="Mountain"/>
    <x v="7"/>
    <n v="22743"/>
    <n v="8738395000"/>
    <n v="5051"/>
    <n v="1731075000"/>
    <n v="5930"/>
    <n v="1269760000"/>
    <n v="33724"/>
    <n v="11739230000"/>
    <n v="348097.2"/>
    <n v="0.005933"/>
  </r>
  <r>
    <s v="NY"/>
    <s v="New York"/>
    <x v="1"/>
    <s v="Middle Atlantic"/>
    <x v="0"/>
    <n v="146167"/>
    <n v="59079045000"/>
    <n v="42343"/>
    <n v="28766425000"/>
    <n v="44887"/>
    <n v="16535335000"/>
    <n v="233397"/>
    <n v="104380805000"/>
    <n v="447224.28"/>
    <n v="0.045687"/>
  </r>
  <r>
    <s v="NY"/>
    <s v="New York"/>
    <x v="1"/>
    <s v="Middle Atlantic"/>
    <x v="1"/>
    <n v="147770"/>
    <n v="62263380000"/>
    <n v="59328"/>
    <n v="42167360000"/>
    <n v="52659"/>
    <n v="22751355000"/>
    <n v="259757"/>
    <n v="127182095000"/>
    <n v="489619.51"/>
    <n v="0.048531"/>
  </r>
  <r>
    <s v="NY"/>
    <s v="New York"/>
    <x v="1"/>
    <s v="Middle Atlantic"/>
    <x v="2"/>
    <n v="147999"/>
    <n v="61207615000"/>
    <n v="147499"/>
    <n v="73595295000"/>
    <n v="69004"/>
    <n v="27747620000"/>
    <n v="364502"/>
    <n v="162550530000"/>
    <n v="445952.37"/>
    <n v="0.107852"/>
  </r>
  <r>
    <s v="NY"/>
    <s v="New York"/>
    <x v="1"/>
    <s v="Middle Atlantic"/>
    <x v="3"/>
    <n v="187049"/>
    <n v="88732355000"/>
    <n v="153407"/>
    <n v="71052135000"/>
    <n v="91353"/>
    <n v="38805655000"/>
    <n v="431809"/>
    <n v="198590145000"/>
    <n v="459902.75"/>
    <n v="0.133384"/>
  </r>
  <r>
    <s v="NY"/>
    <s v="New York"/>
    <x v="1"/>
    <s v="Middle Atlantic"/>
    <x v="4"/>
    <n v="156896"/>
    <n v="82260430000"/>
    <n v="42519"/>
    <n v="31708315000"/>
    <n v="49026"/>
    <n v="24762040000"/>
    <n v="248441"/>
    <n v="138730785000"/>
    <n v="558405.36"/>
    <n v="0.075436"/>
  </r>
  <r>
    <s v="NY"/>
    <s v="New York"/>
    <x v="1"/>
    <s v="Middle Atlantic"/>
    <x v="5"/>
    <n v="114980"/>
    <n v="54685950000"/>
    <n v="17979"/>
    <n v="13455835000"/>
    <n v="21294"/>
    <n v="9170280000"/>
    <n v="154253"/>
    <n v="77312065000"/>
    <n v="501202.99"/>
    <n v="0.092514"/>
  </r>
  <r>
    <s v="NY"/>
    <s v="New York"/>
    <x v="1"/>
    <s v="Middle Atlantic"/>
    <x v="6"/>
    <n v="115407"/>
    <n v="56326435000"/>
    <n v="19878"/>
    <n v="17308210000"/>
    <n v="24033"/>
    <n v="11561935000"/>
    <n v="159318"/>
    <n v="85196580000"/>
    <n v="534758.03"/>
    <n v="0.074105"/>
  </r>
  <r>
    <s v="NY"/>
    <s v="New York"/>
    <x v="1"/>
    <s v="Middle Atlantic"/>
    <x v="7"/>
    <n v="119881"/>
    <n v="63167245000"/>
    <n v="26993"/>
    <n v="27674165000"/>
    <n v="30694"/>
    <n v="14378060000"/>
    <n v="177568"/>
    <n v="105219470000"/>
    <n v="592558.74"/>
    <n v="0.055681"/>
  </r>
  <r>
    <s v="NC"/>
    <s v="North Carolina"/>
    <x v="2"/>
    <s v="South Atlantic"/>
    <x v="0"/>
    <n v="160226"/>
    <n v="38541600000"/>
    <n v="38551"/>
    <n v="8904175000"/>
    <n v="29230"/>
    <n v="6025490000"/>
    <n v="228007"/>
    <n v="53471265000"/>
    <n v="234515.89"/>
    <n v="0.063604"/>
  </r>
  <r>
    <s v="NC"/>
    <s v="North Carolina"/>
    <x v="2"/>
    <s v="South Atlantic"/>
    <x v="1"/>
    <n v="171585"/>
    <n v="43929225000"/>
    <n v="73863"/>
    <n v="18742835000"/>
    <n v="37460"/>
    <n v="8401330000"/>
    <n v="282908"/>
    <n v="71073390000"/>
    <n v="251224.39"/>
    <n v="0.066754"/>
  </r>
  <r>
    <s v="NC"/>
    <s v="North Carolina"/>
    <x v="2"/>
    <s v="South Atlantic"/>
    <x v="2"/>
    <n v="190932"/>
    <n v="52504460000"/>
    <n v="213949"/>
    <n v="53738485000"/>
    <n v="54767"/>
    <n v="13652845000"/>
    <n v="459648"/>
    <n v="119895790000"/>
    <n v="260842.62"/>
    <n v="0.119899"/>
  </r>
  <r>
    <s v="NC"/>
    <s v="North Carolina"/>
    <x v="2"/>
    <s v="South Atlantic"/>
    <x v="3"/>
    <n v="207231"/>
    <n v="63731935000"/>
    <n v="207308"/>
    <n v="51365600000"/>
    <n v="89240"/>
    <n v="22123730000"/>
    <n v="503779"/>
    <n v="137221265000"/>
    <n v="272383.85"/>
    <n v="0.210103"/>
  </r>
  <r>
    <s v="NC"/>
    <s v="North Carolina"/>
    <x v="2"/>
    <s v="South Atlantic"/>
    <x v="4"/>
    <n v="176106"/>
    <n v="63519120000"/>
    <n v="48967"/>
    <n v="14021505000"/>
    <n v="54565"/>
    <n v="14327755000"/>
    <n v="279638"/>
    <n v="91868380000"/>
    <n v="328526.09"/>
    <n v="0.127769"/>
  </r>
  <r>
    <s v="NC"/>
    <s v="North Carolina"/>
    <x v="2"/>
    <s v="South Atlantic"/>
    <x v="5"/>
    <n v="144033"/>
    <n v="49269945000"/>
    <n v="21210"/>
    <n v="6322040000"/>
    <n v="23632"/>
    <n v="6006590000"/>
    <n v="188875"/>
    <n v="61598575000"/>
    <n v="326134.08"/>
    <n v="0.059891"/>
  </r>
  <r>
    <s v="NC"/>
    <s v="North Carolina"/>
    <x v="2"/>
    <s v="South Atlantic"/>
    <x v="6"/>
    <n v="144457"/>
    <n v="50787545000"/>
    <n v="31567"/>
    <n v="11557805000"/>
    <n v="28990"/>
    <n v="7964110000"/>
    <n v="205014"/>
    <n v="70309460000"/>
    <n v="342949.55"/>
    <n v="0.053946"/>
  </r>
  <r>
    <s v="NC"/>
    <s v="North Carolina"/>
    <x v="2"/>
    <s v="South Atlantic"/>
    <x v="7"/>
    <n v="149850"/>
    <n v="55248470000"/>
    <n v="45270"/>
    <n v="17854470000"/>
    <n v="36649"/>
    <n v="9250825000"/>
    <n v="231769"/>
    <n v="82353765000"/>
    <n v="355326.92"/>
    <n v="0.010829"/>
  </r>
  <r>
    <s v="ND"/>
    <s v="North Dakota"/>
    <x v="0"/>
    <s v="West North Central"/>
    <x v="0"/>
    <n v="9558"/>
    <n v="2187660000"/>
    <n v="2329"/>
    <n v="530835000"/>
    <n v="2215"/>
    <n v="405555000"/>
    <n v="14102"/>
    <n v="3124050000"/>
    <n v="221532.41"/>
    <n v="0.023532"/>
  </r>
  <r>
    <s v="ND"/>
    <s v="North Dakota"/>
    <x v="0"/>
    <s v="West North Central"/>
    <x v="1"/>
    <n v="9886"/>
    <n v="2407500000"/>
    <n v="3892"/>
    <n v="1100560000"/>
    <n v="2450"/>
    <n v="523160000"/>
    <n v="16228"/>
    <n v="4031220000"/>
    <n v="248411.39"/>
    <n v="0.020141"/>
  </r>
  <r>
    <s v="ND"/>
    <s v="North Dakota"/>
    <x v="0"/>
    <s v="West North Central"/>
    <x v="2"/>
    <n v="10949"/>
    <n v="2674845000"/>
    <n v="12694"/>
    <n v="3358040000"/>
    <n v="4540"/>
    <n v="1034480000"/>
    <n v="28183"/>
    <n v="7067365000"/>
    <n v="250766.95"/>
    <n v="0.069102"/>
  </r>
  <r>
    <s v="ND"/>
    <s v="North Dakota"/>
    <x v="0"/>
    <s v="West North Central"/>
    <x v="3"/>
    <n v="12183"/>
    <n v="3271855000"/>
    <n v="9844"/>
    <n v="2371390000"/>
    <n v="4334"/>
    <n v="961750000"/>
    <n v="26361"/>
    <n v="6604995000"/>
    <n v="250559.35"/>
    <n v="0.102224"/>
  </r>
  <r>
    <s v="ND"/>
    <s v="North Dakota"/>
    <x v="0"/>
    <s v="West North Central"/>
    <x v="4"/>
    <n v="9974"/>
    <n v="2931750000"/>
    <n v="2134"/>
    <n v="553760000"/>
    <n v="1732"/>
    <n v="443250000"/>
    <n v="13840"/>
    <n v="3928760000"/>
    <n v="283869.94"/>
    <n v="0.060258"/>
  </r>
  <r>
    <s v="ND"/>
    <s v="North Dakota"/>
    <x v="0"/>
    <s v="West North Central"/>
    <x v="5"/>
    <n v="7769"/>
    <n v="2158985000"/>
    <n v="972"/>
    <n v="345450000"/>
    <n v="906"/>
    <n v="160880000"/>
    <n v="9647"/>
    <n v="2665315000"/>
    <n v="276284.34"/>
    <n v="0.05259"/>
  </r>
  <r>
    <s v="ND"/>
    <s v="North Dakota"/>
    <x v="0"/>
    <s v="West North Central"/>
    <x v="6"/>
    <n v="8305"/>
    <n v="2369725000"/>
    <n v="1429"/>
    <n v="425765000"/>
    <n v="1054"/>
    <n v="204140000"/>
    <n v="10788"/>
    <n v="2999630000"/>
    <n v="278052.47"/>
    <n v="0.029519"/>
  </r>
  <r>
    <s v="ND"/>
    <s v="North Dakota"/>
    <x v="0"/>
    <s v="West North Central"/>
    <x v="7"/>
    <n v="8375"/>
    <n v="2690335000"/>
    <n v="2022"/>
    <n v="680320000"/>
    <n v="1273"/>
    <n v="287395000"/>
    <n v="11670"/>
    <n v="3658050000"/>
    <n v="313457.58"/>
    <n v="0.062597"/>
  </r>
  <r>
    <s v="OH"/>
    <s v="Ohio"/>
    <x v="0"/>
    <s v="East North Central"/>
    <x v="0"/>
    <n v="149576"/>
    <n v="28964610000"/>
    <n v="45927"/>
    <n v="7378915000"/>
    <n v="40478"/>
    <n v="5793610000"/>
    <n v="235981"/>
    <n v="42137135000"/>
    <n v="178561.56"/>
    <n v="0.058789"/>
  </r>
  <r>
    <s v="OH"/>
    <s v="Ohio"/>
    <x v="0"/>
    <s v="East North Central"/>
    <x v="1"/>
    <n v="156007"/>
    <n v="30599425000"/>
    <n v="74893"/>
    <n v="14651305000"/>
    <n v="45846"/>
    <n v="7834040000"/>
    <n v="276746"/>
    <n v="53084770000"/>
    <n v="191817.66"/>
    <n v="0.064644"/>
  </r>
  <r>
    <s v="OH"/>
    <s v="Ohio"/>
    <x v="0"/>
    <s v="East North Central"/>
    <x v="2"/>
    <n v="164995"/>
    <n v="34350775000"/>
    <n v="191860"/>
    <n v="39632900000"/>
    <n v="67170"/>
    <n v="12641580000"/>
    <n v="424025"/>
    <n v="86625255000"/>
    <n v="204292.8"/>
    <n v="0.122246"/>
  </r>
  <r>
    <s v="OH"/>
    <s v="Ohio"/>
    <x v="0"/>
    <s v="East North Central"/>
    <x v="3"/>
    <n v="175383"/>
    <n v="40836665000"/>
    <n v="178979"/>
    <n v="35476575000"/>
    <n v="93327"/>
    <n v="17341915000"/>
    <n v="447689"/>
    <n v="93655155000"/>
    <n v="209196.91"/>
    <n v="0.134625"/>
  </r>
  <r>
    <s v="OH"/>
    <s v="Ohio"/>
    <x v="0"/>
    <s v="East North Central"/>
    <x v="4"/>
    <n v="150297"/>
    <n v="38977295000"/>
    <n v="44678"/>
    <n v="9516640000"/>
    <n v="55046"/>
    <n v="10516980000"/>
    <n v="250021"/>
    <n v="59010915000"/>
    <n v="236023.83"/>
    <n v="0.082925"/>
  </r>
  <r>
    <s v="OH"/>
    <s v="Ohio"/>
    <x v="0"/>
    <s v="East North Central"/>
    <x v="5"/>
    <n v="122845"/>
    <n v="31138425000"/>
    <n v="19294"/>
    <n v="4420660000"/>
    <n v="29665"/>
    <n v="5429935000"/>
    <n v="171804"/>
    <n v="40989020000"/>
    <n v="238580.13"/>
    <n v="0.086376"/>
  </r>
  <r>
    <s v="OH"/>
    <s v="Ohio"/>
    <x v="0"/>
    <s v="East North Central"/>
    <x v="6"/>
    <n v="127222"/>
    <n v="33988690000"/>
    <n v="29231"/>
    <n v="7624915000"/>
    <n v="32431"/>
    <n v="6589235000"/>
    <n v="188884"/>
    <n v="48202840000"/>
    <n v="255198.11"/>
    <n v="0.067469"/>
  </r>
  <r>
    <s v="OH"/>
    <s v="Ohio"/>
    <x v="0"/>
    <s v="East North Central"/>
    <x v="7"/>
    <n v="133015"/>
    <n v="37472935000"/>
    <n v="44010"/>
    <n v="11694560000"/>
    <n v="39554"/>
    <n v="8143780000"/>
    <n v="216579"/>
    <n v="57311275000"/>
    <n v="264620.65"/>
    <n v="0.046511"/>
  </r>
  <r>
    <s v="OK"/>
    <s v="Oklahoma"/>
    <x v="2"/>
    <s v="West South Central"/>
    <x v="0"/>
    <n v="50110"/>
    <n v="8825660000"/>
    <n v="10523"/>
    <n v="1916675000"/>
    <n v="8472"/>
    <n v="1254610000"/>
    <n v="69105"/>
    <n v="11996945000"/>
    <n v="173604.59"/>
    <n v="0.037235"/>
  </r>
  <r>
    <s v="OK"/>
    <s v="Oklahoma"/>
    <x v="2"/>
    <s v="West South Central"/>
    <x v="1"/>
    <n v="53621"/>
    <n v="10235265000"/>
    <n v="14478"/>
    <n v="2913920000"/>
    <n v="9174"/>
    <n v="1614930000"/>
    <n v="77273"/>
    <n v="14764115000"/>
    <n v="191064.34"/>
    <n v="0.042605"/>
  </r>
  <r>
    <s v="OK"/>
    <s v="Oklahoma"/>
    <x v="2"/>
    <s v="West South Central"/>
    <x v="2"/>
    <n v="58276"/>
    <n v="11689930000"/>
    <n v="42040"/>
    <n v="9122390000"/>
    <n v="12758"/>
    <n v="2517740000"/>
    <n v="113074"/>
    <n v="23330060000"/>
    <n v="206325.59"/>
    <n v="0.093826"/>
  </r>
  <r>
    <s v="OK"/>
    <s v="Oklahoma"/>
    <x v="2"/>
    <s v="West South Central"/>
    <x v="3"/>
    <n v="62645"/>
    <n v="13795555000"/>
    <n v="38962"/>
    <n v="8202910000"/>
    <n v="16947"/>
    <n v="3316555000"/>
    <n v="118554"/>
    <n v="25315020000"/>
    <n v="213531.56"/>
    <n v="0.160829"/>
  </r>
  <r>
    <s v="OK"/>
    <s v="Oklahoma"/>
    <x v="2"/>
    <s v="West South Central"/>
    <x v="4"/>
    <n v="54449"/>
    <n v="13649615000"/>
    <n v="10761"/>
    <n v="2479225000"/>
    <n v="11891"/>
    <n v="2417545000"/>
    <n v="77101"/>
    <n v="18546385000"/>
    <n v="240546.62"/>
    <n v="0.096581"/>
  </r>
  <r>
    <s v="OK"/>
    <s v="Oklahoma"/>
    <x v="2"/>
    <s v="West South Central"/>
    <x v="5"/>
    <n v="45076"/>
    <n v="10777770000"/>
    <n v="5559"/>
    <n v="1366295000"/>
    <n v="5862"/>
    <n v="1146160000"/>
    <n v="56497"/>
    <n v="13290225000"/>
    <n v="235237.71"/>
    <n v="0.042773"/>
  </r>
  <r>
    <s v="OK"/>
    <s v="Oklahoma"/>
    <x v="2"/>
    <s v="West South Central"/>
    <x v="6"/>
    <n v="46339"/>
    <n v="11712945000"/>
    <n v="7925"/>
    <n v="2095005000"/>
    <n v="7291"/>
    <n v="1439525000"/>
    <n v="61555"/>
    <n v="15247475000"/>
    <n v="247704.9"/>
    <n v="0.04244"/>
  </r>
  <r>
    <s v="OK"/>
    <s v="Oklahoma"/>
    <x v="2"/>
    <s v="West South Central"/>
    <x v="7"/>
    <n v="47287"/>
    <n v="12314845000"/>
    <n v="11025"/>
    <n v="3463475000"/>
    <n v="9345"/>
    <n v="1717605000"/>
    <n v="67657"/>
    <n v="17495925000"/>
    <n v="258597.41"/>
    <n v="0.033922"/>
  </r>
  <r>
    <s v="OR"/>
    <s v="Oregon"/>
    <x v="3"/>
    <s v="Pacific"/>
    <x v="0"/>
    <n v="62677"/>
    <n v="20014165000"/>
    <n v="15384"/>
    <n v="4534590000"/>
    <n v="23584"/>
    <n v="6196820000"/>
    <n v="101645"/>
    <n v="30745575000"/>
    <n v="302479.95"/>
    <n v="0.05927"/>
  </r>
  <r>
    <s v="OR"/>
    <s v="Oregon"/>
    <x v="3"/>
    <s v="Pacific"/>
    <x v="1"/>
    <n v="63348"/>
    <n v="21083940000"/>
    <n v="35809"/>
    <n v="12440175000"/>
    <n v="30724"/>
    <n v="8655720000"/>
    <n v="129881"/>
    <n v="42179835000"/>
    <n v="324757.55"/>
    <n v="0.055978"/>
  </r>
  <r>
    <s v="OR"/>
    <s v="Oregon"/>
    <x v="3"/>
    <s v="Pacific"/>
    <x v="2"/>
    <n v="69610"/>
    <n v="25219520000"/>
    <n v="112770"/>
    <n v="34774280000"/>
    <n v="46748"/>
    <n v="13812240000"/>
    <n v="229128"/>
    <n v="73806040000"/>
    <n v="322117.07"/>
    <n v="0.116854"/>
  </r>
  <r>
    <s v="OR"/>
    <s v="Oregon"/>
    <x v="3"/>
    <s v="Pacific"/>
    <x v="3"/>
    <n v="75446"/>
    <n v="31323560000"/>
    <n v="91515"/>
    <n v="28295325000"/>
    <n v="57266"/>
    <n v="17928110000"/>
    <n v="224227"/>
    <n v="77546995000"/>
    <n v="345841.47"/>
    <n v="0.17237"/>
  </r>
  <r>
    <s v="OR"/>
    <s v="Oregon"/>
    <x v="3"/>
    <s v="Pacific"/>
    <x v="4"/>
    <n v="57455"/>
    <n v="26192255000"/>
    <n v="14246"/>
    <n v="5658920000"/>
    <n v="22817"/>
    <n v="7559035000"/>
    <n v="94518"/>
    <n v="39410210000"/>
    <n v="416959.84"/>
    <n v="0.033393"/>
  </r>
  <r>
    <s v="OR"/>
    <s v="Oregon"/>
    <x v="3"/>
    <s v="Pacific"/>
    <x v="5"/>
    <n v="39869"/>
    <n v="17170735000"/>
    <n v="4931"/>
    <n v="2349825000"/>
    <n v="7023"/>
    <n v="2019335000"/>
    <n v="51823"/>
    <n v="21539895000"/>
    <n v="415643.54"/>
    <n v="0.009689"/>
  </r>
  <r>
    <s v="OR"/>
    <s v="Oregon"/>
    <x v="3"/>
    <s v="Pacific"/>
    <x v="6"/>
    <n v="42014"/>
    <n v="18278290000"/>
    <n v="8266"/>
    <n v="3761110000"/>
    <n v="8607"/>
    <n v="3414995000"/>
    <n v="58887"/>
    <n v="25454395000"/>
    <n v="432258.31"/>
    <n v="0.031188"/>
  </r>
  <r>
    <s v="OR"/>
    <s v="Oregon"/>
    <x v="3"/>
    <s v="Pacific"/>
    <x v="7"/>
    <n v="43910"/>
    <n v="20897580000"/>
    <n v="12826"/>
    <n v="5776660000"/>
    <n v="11940"/>
    <n v="3591600000"/>
    <n v="68676"/>
    <n v="30265840000"/>
    <n v="440704.76"/>
    <n v="0.004637"/>
  </r>
  <r>
    <s v="PA"/>
    <s v="Pennsylvania"/>
    <x v="1"/>
    <s v="Middle Atlantic"/>
    <x v="0"/>
    <n v="144221"/>
    <n v="31383735000"/>
    <n v="58340"/>
    <n v="11237690000"/>
    <n v="32831"/>
    <n v="5691335000"/>
    <n v="235392"/>
    <n v="48312760000"/>
    <n v="205243.85"/>
    <n v="0.045614"/>
  </r>
  <r>
    <s v="PA"/>
    <s v="Pennsylvania"/>
    <x v="1"/>
    <s v="Middle Atlantic"/>
    <x v="1"/>
    <n v="148935"/>
    <n v="34632555000"/>
    <n v="81155"/>
    <n v="18320755000"/>
    <n v="40172"/>
    <n v="7775050000"/>
    <n v="270262"/>
    <n v="60728360000"/>
    <n v="224701.81"/>
    <n v="0.050269"/>
  </r>
  <r>
    <s v="PA"/>
    <s v="Pennsylvania"/>
    <x v="1"/>
    <s v="Middle Atlantic"/>
    <x v="2"/>
    <n v="155297"/>
    <n v="37335665000"/>
    <n v="196171"/>
    <n v="49301305000"/>
    <n v="57741"/>
    <n v="13090845000"/>
    <n v="409209"/>
    <n v="99727815000"/>
    <n v="243708.75"/>
    <n v="0.109155"/>
  </r>
  <r>
    <s v="PA"/>
    <s v="Pennsylvania"/>
    <x v="1"/>
    <s v="Middle Atlantic"/>
    <x v="3"/>
    <n v="176448"/>
    <n v="47097280000"/>
    <n v="190007"/>
    <n v="44777115000"/>
    <n v="87399"/>
    <n v="19885795000"/>
    <n v="453854"/>
    <n v="111760190000"/>
    <n v="246247.01"/>
    <n v="0.131398"/>
  </r>
  <r>
    <s v="PA"/>
    <s v="Pennsylvania"/>
    <x v="1"/>
    <s v="Middle Atlantic"/>
    <x v="4"/>
    <n v="149641"/>
    <n v="43047335000"/>
    <n v="55715"/>
    <n v="13201335000"/>
    <n v="47350"/>
    <n v="10723290000"/>
    <n v="252706"/>
    <n v="66971960000"/>
    <n v="265019.27"/>
    <n v="0.072406"/>
  </r>
  <r>
    <s v="PA"/>
    <s v="Pennsylvania"/>
    <x v="1"/>
    <s v="Middle Atlantic"/>
    <x v="5"/>
    <n v="116819"/>
    <n v="32491655000"/>
    <n v="26803"/>
    <n v="5727545000"/>
    <n v="24474"/>
    <n v="4441960000"/>
    <n v="168096"/>
    <n v="42661160000"/>
    <n v="253790.45"/>
    <n v="0.069564"/>
  </r>
  <r>
    <s v="PA"/>
    <s v="Pennsylvania"/>
    <x v="1"/>
    <s v="Middle Atlantic"/>
    <x v="6"/>
    <n v="119931"/>
    <n v="35452905000"/>
    <n v="32027"/>
    <n v="8098635000"/>
    <n v="27586"/>
    <n v="5327000000"/>
    <n v="179544"/>
    <n v="48878540000"/>
    <n v="272237.11"/>
    <n v="0.06196"/>
  </r>
  <r>
    <s v="PA"/>
    <s v="Pennsylvania"/>
    <x v="1"/>
    <s v="Middle Atlantic"/>
    <x v="7"/>
    <n v="123644"/>
    <n v="38143330000"/>
    <n v="45350"/>
    <n v="13215890000"/>
    <n v="33912"/>
    <n v="7029640000"/>
    <n v="202906"/>
    <n v="58388860000"/>
    <n v="287763.1"/>
    <n v="0.041619"/>
  </r>
  <r>
    <s v="RI"/>
    <s v="Rhode Island"/>
    <x v="1"/>
    <s v="New England"/>
    <x v="0"/>
    <n v="13852"/>
    <n v="3713990000"/>
    <n v="5906"/>
    <n v="1405520000"/>
    <n v="4400"/>
    <n v="892660000"/>
    <n v="24158"/>
    <n v="6012170000"/>
    <n v="248868.7"/>
    <n v="0.056786"/>
  </r>
  <r>
    <s v="RI"/>
    <s v="Rhode Island"/>
    <x v="1"/>
    <s v="New England"/>
    <x v="1"/>
    <n v="14366"/>
    <n v="4129290000"/>
    <n v="9851"/>
    <n v="2462365000"/>
    <n v="5792"/>
    <n v="1370340000"/>
    <n v="30009"/>
    <n v="7961995000"/>
    <n v="265320.24"/>
    <n v="0.063405"/>
  </r>
  <r>
    <s v="RI"/>
    <s v="Rhode Island"/>
    <x v="1"/>
    <s v="New England"/>
    <x v="2"/>
    <n v="15229"/>
    <n v="4665455000"/>
    <n v="24135"/>
    <n v="6505175000"/>
    <n v="8510"/>
    <n v="2168280000"/>
    <n v="47874"/>
    <n v="13338910000"/>
    <n v="278625.35"/>
    <n v="0.136532"/>
  </r>
  <r>
    <s v="RI"/>
    <s v="Rhode Island"/>
    <x v="1"/>
    <s v="New England"/>
    <x v="3"/>
    <n v="16576"/>
    <n v="5897320000"/>
    <n v="21010"/>
    <n v="5870900000"/>
    <n v="12586"/>
    <n v="3334180000"/>
    <n v="50172"/>
    <n v="15102400000"/>
    <n v="301012.52"/>
    <n v="0.157133"/>
  </r>
  <r>
    <s v="RI"/>
    <s v="Rhode Island"/>
    <x v="1"/>
    <s v="New England"/>
    <x v="4"/>
    <n v="13017"/>
    <n v="5025325000"/>
    <n v="5139"/>
    <n v="1843395000"/>
    <n v="6111"/>
    <n v="1908855000"/>
    <n v="24267"/>
    <n v="8777575000"/>
    <n v="361708.29"/>
    <n v="0.054224"/>
  </r>
  <r>
    <s v="RI"/>
    <s v="Rhode Island"/>
    <x v="1"/>
    <s v="New England"/>
    <x v="5"/>
    <n v="9239"/>
    <n v="3806845000"/>
    <n v="2691"/>
    <n v="762485000"/>
    <n v="2474"/>
    <n v="637070000"/>
    <n v="14404"/>
    <n v="5206400000"/>
    <n v="361455.15"/>
    <n v="0.136675"/>
  </r>
  <r>
    <s v="RI"/>
    <s v="Rhode Island"/>
    <x v="1"/>
    <s v="New England"/>
    <x v="6"/>
    <n v="10237"/>
    <n v="4420915000"/>
    <n v="3391"/>
    <n v="1098505000"/>
    <n v="2965"/>
    <n v="821365000"/>
    <n v="16593"/>
    <n v="6340785000"/>
    <n v="382136.14"/>
    <n v="0.068333"/>
  </r>
  <r>
    <s v="RI"/>
    <s v="Rhode Island"/>
    <x v="1"/>
    <s v="New England"/>
    <x v="7"/>
    <n v="10600"/>
    <n v="4896220000"/>
    <n v="5293"/>
    <n v="1857285000"/>
    <n v="3735"/>
    <n v="1233225000"/>
    <n v="19628"/>
    <n v="7986730000"/>
    <n v="406904.93"/>
    <n v="0.047195"/>
  </r>
  <r>
    <s v="SC"/>
    <s v="South Carolina"/>
    <x v="2"/>
    <s v="South Atlantic"/>
    <x v="0"/>
    <n v="86469"/>
    <n v="19861135000"/>
    <n v="15103"/>
    <n v="3202805000"/>
    <n v="16262"/>
    <n v="3502840000"/>
    <n v="117834"/>
    <n v="26566780000"/>
    <n v="225459.38"/>
    <n v="0.065364"/>
  </r>
  <r>
    <s v="SC"/>
    <s v="South Carolina"/>
    <x v="2"/>
    <s v="South Atlantic"/>
    <x v="1"/>
    <n v="92095"/>
    <n v="21926395000"/>
    <n v="30402"/>
    <n v="8030830000"/>
    <n v="20127"/>
    <n v="4498745000"/>
    <n v="142624"/>
    <n v="34455970000"/>
    <n v="241586.06"/>
    <n v="0.057519"/>
  </r>
  <r>
    <s v="SC"/>
    <s v="South Carolina"/>
    <x v="2"/>
    <s v="South Atlantic"/>
    <x v="2"/>
    <n v="104047"/>
    <n v="26911785000"/>
    <n v="95566"/>
    <n v="24179500000"/>
    <n v="28063"/>
    <n v="6781465000"/>
    <n v="227676"/>
    <n v="57872750000"/>
    <n v="254189.07"/>
    <n v="0.104525"/>
  </r>
  <r>
    <s v="SC"/>
    <s v="South Carolina"/>
    <x v="2"/>
    <s v="South Atlantic"/>
    <x v="3"/>
    <n v="113752"/>
    <n v="33535310000"/>
    <n v="87138"/>
    <n v="21819700000"/>
    <n v="44083"/>
    <n v="10653095000"/>
    <n v="244973"/>
    <n v="66008105000"/>
    <n v="269450.53"/>
    <n v="0.210106"/>
  </r>
  <r>
    <s v="SC"/>
    <s v="South Carolina"/>
    <x v="2"/>
    <s v="South Atlantic"/>
    <x v="4"/>
    <n v="94405"/>
    <n v="31589135000"/>
    <n v="15845"/>
    <n v="4960815000"/>
    <n v="29013"/>
    <n v="7106245000"/>
    <n v="139263"/>
    <n v="43656195000"/>
    <n v="313480.21"/>
    <n v="0.119781"/>
  </r>
  <r>
    <s v="SC"/>
    <s v="South Carolina"/>
    <x v="2"/>
    <s v="South Atlantic"/>
    <x v="5"/>
    <n v="78825"/>
    <n v="25317045000"/>
    <n v="6337"/>
    <n v="2135435000"/>
    <n v="13168"/>
    <n v="3033220000"/>
    <n v="98330"/>
    <n v="30485700000"/>
    <n v="310034.58"/>
    <n v="0.086849"/>
  </r>
  <r>
    <s v="SC"/>
    <s v="South Carolina"/>
    <x v="2"/>
    <s v="South Atlantic"/>
    <x v="6"/>
    <n v="80122"/>
    <n v="26587340000"/>
    <n v="12363"/>
    <n v="4707895000"/>
    <n v="15743"/>
    <n v="3847655000"/>
    <n v="108228"/>
    <n v="35142890000"/>
    <n v="324711.63"/>
    <n v="0.05299"/>
  </r>
  <r>
    <s v="SC"/>
    <s v="South Carolina"/>
    <x v="2"/>
    <s v="South Atlantic"/>
    <x v="7"/>
    <n v="85452"/>
    <n v="29532960000"/>
    <n v="18326"/>
    <n v="8079650000"/>
    <n v="18989"/>
    <n v="4887905000"/>
    <n v="122767"/>
    <n v="42500515000"/>
    <n v="346188.43"/>
    <n v="0.020272"/>
  </r>
  <r>
    <s v="SD"/>
    <s v="South Dakota"/>
    <x v="0"/>
    <s v="West North Central"/>
    <x v="0"/>
    <n v="11924"/>
    <n v="2400330000"/>
    <n v="2539"/>
    <n v="434635000"/>
    <n v="2612"/>
    <n v="435210000"/>
    <n v="17075"/>
    <n v="3270175000"/>
    <n v="191518.3"/>
    <n v="0.063862"/>
  </r>
  <r>
    <s v="SD"/>
    <s v="South Dakota"/>
    <x v="0"/>
    <s v="West North Central"/>
    <x v="1"/>
    <n v="12130"/>
    <n v="2580280000"/>
    <n v="4906"/>
    <n v="1121740000"/>
    <n v="3774"/>
    <n v="759760000"/>
    <n v="20810"/>
    <n v="4461780000"/>
    <n v="214405.57"/>
    <n v="0.038368"/>
  </r>
  <r>
    <s v="SD"/>
    <s v="South Dakota"/>
    <x v="0"/>
    <s v="West North Central"/>
    <x v="2"/>
    <n v="13504"/>
    <n v="3277460000"/>
    <n v="17734"/>
    <n v="4142950000"/>
    <n v="7341"/>
    <n v="1611765000"/>
    <n v="38579"/>
    <n v="9032175000"/>
    <n v="234121.54"/>
    <n v="0.098978"/>
  </r>
  <r>
    <s v="SD"/>
    <s v="South Dakota"/>
    <x v="0"/>
    <s v="West North Central"/>
    <x v="3"/>
    <n v="14048"/>
    <n v="4010600000"/>
    <n v="10866"/>
    <n v="2312430000"/>
    <n v="6482"/>
    <n v="1417080000"/>
    <n v="31396"/>
    <n v="7740110000"/>
    <n v="246531.72"/>
    <n v="0.179035"/>
  </r>
  <r>
    <s v="SD"/>
    <s v="South Dakota"/>
    <x v="0"/>
    <s v="West North Central"/>
    <x v="4"/>
    <n v="12138"/>
    <n v="3908260000"/>
    <n v="2694"/>
    <n v="784320000"/>
    <n v="3159"/>
    <n v="703225000"/>
    <n v="17991"/>
    <n v="5395805000"/>
    <n v="299916.9"/>
    <n v="0.091635"/>
  </r>
  <r>
    <s v="SD"/>
    <s v="South Dakota"/>
    <x v="0"/>
    <s v="West North Central"/>
    <x v="5"/>
    <n v="9289"/>
    <n v="2921345000"/>
    <n v="1427"/>
    <n v="437595000"/>
    <n v="1686"/>
    <n v="273160000"/>
    <n v="12402"/>
    <n v="3632100000"/>
    <n v="292864.05"/>
    <n v="0.064723"/>
  </r>
  <r>
    <s v="SD"/>
    <s v="South Dakota"/>
    <x v="0"/>
    <s v="West North Central"/>
    <x v="6"/>
    <n v="9543"/>
    <n v="2938795000"/>
    <n v="1947"/>
    <n v="542795000"/>
    <n v="1807"/>
    <n v="338235000"/>
    <n v="13297"/>
    <n v="3819825000"/>
    <n v="287269.68"/>
    <n v="0.03718"/>
  </r>
  <r>
    <s v="SD"/>
    <s v="South Dakota"/>
    <x v="0"/>
    <s v="West North Central"/>
    <x v="7"/>
    <n v="9881"/>
    <n v="3242775000"/>
    <n v="2676"/>
    <n v="834040000"/>
    <n v="2211"/>
    <n v="478435000"/>
    <n v="14768"/>
    <n v="4555250000"/>
    <n v="308454.09"/>
    <n v="0.021641"/>
  </r>
  <r>
    <s v="TN"/>
    <s v="Tennessee"/>
    <x v="2"/>
    <s v="East South Central"/>
    <x v="0"/>
    <n v="102568"/>
    <n v="23805840000"/>
    <n v="22468"/>
    <n v="5166050000"/>
    <n v="26568"/>
    <n v="4855890000"/>
    <n v="151604"/>
    <n v="33827780000"/>
    <n v="223132.5"/>
    <n v="0.068554"/>
  </r>
  <r>
    <s v="TN"/>
    <s v="Tennessee"/>
    <x v="2"/>
    <s v="East South Central"/>
    <x v="1"/>
    <n v="110295"/>
    <n v="27317165000"/>
    <n v="40783"/>
    <n v="10391845000"/>
    <n v="31282"/>
    <n v="6701360000"/>
    <n v="182360"/>
    <n v="44410370000"/>
    <n v="243531.31"/>
    <n v="0.067262"/>
  </r>
  <r>
    <s v="TN"/>
    <s v="Tennessee"/>
    <x v="2"/>
    <s v="East South Central"/>
    <x v="2"/>
    <n v="121465"/>
    <n v="32134615000"/>
    <n v="118861"/>
    <n v="30816705000"/>
    <n v="42911"/>
    <n v="9826405000"/>
    <n v="283237"/>
    <n v="72777725000"/>
    <n v="256949.92"/>
    <n v="0.123747"/>
  </r>
  <r>
    <s v="TN"/>
    <s v="Tennessee"/>
    <x v="2"/>
    <s v="East South Central"/>
    <x v="3"/>
    <n v="127924"/>
    <n v="39609030000"/>
    <n v="104611"/>
    <n v="26547785000"/>
    <n v="64133"/>
    <n v="15580395000"/>
    <n v="296668"/>
    <n v="81737210000"/>
    <n v="275517.45"/>
    <n v="0.23223"/>
  </r>
  <r>
    <s v="TN"/>
    <s v="Tennessee"/>
    <x v="2"/>
    <s v="East South Central"/>
    <x v="4"/>
    <n v="108358"/>
    <n v="39729910000"/>
    <n v="25880"/>
    <n v="8772150000"/>
    <n v="43840"/>
    <n v="11079760000"/>
    <n v="178078"/>
    <n v="59581820000"/>
    <n v="334582.71"/>
    <n v="0.102756"/>
  </r>
  <r>
    <s v="TN"/>
    <s v="Tennessee"/>
    <x v="2"/>
    <s v="East South Central"/>
    <x v="5"/>
    <n v="87986"/>
    <n v="30358930000"/>
    <n v="13539"/>
    <n v="4353895000"/>
    <n v="21099"/>
    <n v="4579225000"/>
    <n v="122624"/>
    <n v="39292050000"/>
    <n v="320427.08"/>
    <n v="0.062874"/>
  </r>
  <r>
    <s v="TN"/>
    <s v="Tennessee"/>
    <x v="2"/>
    <s v="East South Central"/>
    <x v="6"/>
    <n v="89189"/>
    <n v="32341305000"/>
    <n v="19428"/>
    <n v="6753250000"/>
    <n v="23835"/>
    <n v="5492655000"/>
    <n v="132452"/>
    <n v="44587210000"/>
    <n v="336629.19"/>
    <n v="0.045074"/>
  </r>
  <r>
    <s v="TN"/>
    <s v="Tennessee"/>
    <x v="2"/>
    <s v="East South Central"/>
    <x v="7"/>
    <n v="91425"/>
    <n v="34306415000"/>
    <n v="27443"/>
    <n v="10769325000"/>
    <n v="28011"/>
    <n v="6837945000"/>
    <n v="146879"/>
    <n v="51913685000"/>
    <n v="353445.25"/>
    <n v="0.004512"/>
  </r>
  <r>
    <s v="TX"/>
    <s v="Texas"/>
    <x v="2"/>
    <s v="West South Central"/>
    <x v="0"/>
    <n v="379920"/>
    <n v="100554880000"/>
    <n v="56758"/>
    <n v="17615760000"/>
    <n v="70692"/>
    <n v="14448310000"/>
    <n v="507370"/>
    <n v="132618950000"/>
    <n v="261385.08"/>
    <n v="0.051168"/>
  </r>
  <r>
    <s v="TX"/>
    <s v="Texas"/>
    <x v="2"/>
    <s v="West South Central"/>
    <x v="1"/>
    <n v="407089"/>
    <n v="110132925000"/>
    <n v="114144"/>
    <n v="36695640000"/>
    <n v="74982"/>
    <n v="16197480000"/>
    <n v="596215"/>
    <n v="163026045000"/>
    <n v="273434.99"/>
    <n v="0.047726"/>
  </r>
  <r>
    <s v="TX"/>
    <s v="Texas"/>
    <x v="2"/>
    <s v="West South Central"/>
    <x v="2"/>
    <n v="459372"/>
    <n v="128678100000"/>
    <n v="416238"/>
    <n v="116133690000"/>
    <n v="104498"/>
    <n v="26655360000"/>
    <n v="980108"/>
    <n v="271467150000"/>
    <n v="276976.77"/>
    <n v="0.090668"/>
  </r>
  <r>
    <s v="TX"/>
    <s v="Texas"/>
    <x v="2"/>
    <s v="West South Central"/>
    <x v="3"/>
    <n v="487185"/>
    <n v="159904855000"/>
    <n v="373660"/>
    <n v="102142490000"/>
    <n v="151100"/>
    <n v="39949880000"/>
    <n v="1011945"/>
    <n v="301997225000"/>
    <n v="298432.45"/>
    <n v="0.193354"/>
  </r>
  <r>
    <s v="TX"/>
    <s v="Texas"/>
    <x v="2"/>
    <s v="West South Central"/>
    <x v="4"/>
    <n v="424933"/>
    <n v="163260565000"/>
    <n v="68986"/>
    <n v="28377920000"/>
    <n v="104160"/>
    <n v="28160860000"/>
    <n v="598079"/>
    <n v="219799345000"/>
    <n v="367508.88"/>
    <n v="0.090118"/>
  </r>
  <r>
    <s v="TX"/>
    <s v="Texas"/>
    <x v="2"/>
    <s v="West South Central"/>
    <x v="5"/>
    <n v="355681"/>
    <n v="126425365000"/>
    <n v="22032"/>
    <n v="14474280000"/>
    <n v="43940"/>
    <n v="10111400000"/>
    <n v="421653"/>
    <n v="151011045000"/>
    <n v="358140.57"/>
    <n v="0.024452"/>
  </r>
  <r>
    <s v="TX"/>
    <s v="Texas"/>
    <x v="2"/>
    <s v="West South Central"/>
    <x v="6"/>
    <n v="360296"/>
    <n v="129215850000"/>
    <n v="40917"/>
    <n v="21189015000"/>
    <n v="49132"/>
    <n v="15293070000"/>
    <n v="450345"/>
    <n v="165697935000"/>
    <n v="367935.55"/>
    <n v="0.022897"/>
  </r>
  <r>
    <s v="TX"/>
    <s v="Texas"/>
    <x v="2"/>
    <s v="West South Central"/>
    <x v="7"/>
    <n v="356285"/>
    <n v="129555105000"/>
    <n v="65793"/>
    <n v="33363325000"/>
    <n v="58657"/>
    <n v="14301865000"/>
    <n v="480735"/>
    <n v="177220295000"/>
    <n v="368644.46"/>
    <n v="-0.005178"/>
  </r>
  <r>
    <s v="UT"/>
    <s v="Utah"/>
    <x v="3"/>
    <s v="Mountain"/>
    <x v="0"/>
    <n v="63284"/>
    <n v="18182920000"/>
    <n v="17016"/>
    <n v="4050840000"/>
    <n v="19378"/>
    <n v="4573840000"/>
    <n v="99678"/>
    <n v="26807600000"/>
    <n v="268941.99"/>
    <n v="0.094203"/>
  </r>
  <r>
    <s v="UT"/>
    <s v="Utah"/>
    <x v="3"/>
    <s v="Mountain"/>
    <x v="1"/>
    <n v="64465"/>
    <n v="19767965000"/>
    <n v="44677"/>
    <n v="13232955000"/>
    <n v="32396"/>
    <n v="8858800000"/>
    <n v="141538"/>
    <n v="41859720000"/>
    <n v="295748.99"/>
    <n v="0.079274"/>
  </r>
  <r>
    <s v="UT"/>
    <s v="Utah"/>
    <x v="3"/>
    <s v="Mountain"/>
    <x v="2"/>
    <n v="72933"/>
    <n v="24346495000"/>
    <n v="125788"/>
    <n v="36418450000"/>
    <n v="52712"/>
    <n v="14948810000"/>
    <n v="251433"/>
    <n v="75713755000"/>
    <n v="301128.95"/>
    <n v="0.15497"/>
  </r>
  <r>
    <s v="UT"/>
    <s v="Utah"/>
    <x v="3"/>
    <s v="Mountain"/>
    <x v="3"/>
    <n v="69006"/>
    <n v="28204110000"/>
    <n v="87124"/>
    <n v="25954410000"/>
    <n v="63095"/>
    <n v="20402185000"/>
    <n v="219225"/>
    <n v="74560705000"/>
    <n v="340110.41"/>
    <n v="0.269298"/>
  </r>
  <r>
    <s v="UT"/>
    <s v="Utah"/>
    <x v="3"/>
    <s v="Mountain"/>
    <x v="4"/>
    <n v="52682"/>
    <n v="24889480000"/>
    <n v="20365"/>
    <n v="6703775000"/>
    <n v="25131"/>
    <n v="8491235000"/>
    <n v="98178"/>
    <n v="40084490000"/>
    <n v="408283.83"/>
    <n v="0.031624"/>
  </r>
  <r>
    <s v="UT"/>
    <s v="Utah"/>
    <x v="3"/>
    <s v="Mountain"/>
    <x v="5"/>
    <n v="39865"/>
    <n v="17980505000"/>
    <n v="9291"/>
    <n v="3145275000"/>
    <n v="7830"/>
    <n v="2493310000"/>
    <n v="56986"/>
    <n v="23619090000"/>
    <n v="414471.8"/>
    <n v="0.020512"/>
  </r>
  <r>
    <s v="UT"/>
    <s v="Utah"/>
    <x v="3"/>
    <s v="Mountain"/>
    <x v="6"/>
    <n v="42765"/>
    <n v="19589935000"/>
    <n v="13273"/>
    <n v="4612015000"/>
    <n v="9211"/>
    <n v="2774745000"/>
    <n v="65249"/>
    <n v="26976695000"/>
    <n v="413442.27"/>
    <n v="0.046472"/>
  </r>
  <r>
    <s v="UT"/>
    <s v="Utah"/>
    <x v="3"/>
    <s v="Mountain"/>
    <x v="7"/>
    <n v="44237"/>
    <n v="21459785000"/>
    <n v="19138"/>
    <n v="8189030000"/>
    <n v="11745"/>
    <n v="3812385000"/>
    <n v="75120"/>
    <n v="33461200000"/>
    <n v="445436.63"/>
    <n v="0.007795"/>
  </r>
  <r>
    <s v="VT"/>
    <s v="Vermont"/>
    <x v="1"/>
    <s v="New England"/>
    <x v="0"/>
    <n v="7204"/>
    <n v="1599820000"/>
    <n v="2353"/>
    <n v="419265000"/>
    <n v="2174"/>
    <n v="363590000"/>
    <n v="11731"/>
    <n v="2382675000"/>
    <n v="203109.28"/>
    <n v="0.027406"/>
  </r>
  <r>
    <s v="VT"/>
    <s v="Vermont"/>
    <x v="1"/>
    <s v="New England"/>
    <x v="1"/>
    <n v="7643"/>
    <n v="1759435000"/>
    <n v="3561"/>
    <n v="773865000"/>
    <n v="2400"/>
    <n v="481140000"/>
    <n v="13604"/>
    <n v="3014440000"/>
    <n v="221584.83"/>
    <n v="0.043018"/>
  </r>
  <r>
    <s v="VT"/>
    <s v="Vermont"/>
    <x v="1"/>
    <s v="New England"/>
    <x v="2"/>
    <n v="8738"/>
    <n v="2341210000"/>
    <n v="9861"/>
    <n v="2342035000"/>
    <n v="4371"/>
    <n v="988055000"/>
    <n v="22970"/>
    <n v="5671300000"/>
    <n v="246900.3"/>
    <n v="0.124187"/>
  </r>
  <r>
    <s v="VT"/>
    <s v="Vermont"/>
    <x v="1"/>
    <s v="New England"/>
    <x v="3"/>
    <n v="9145"/>
    <n v="2677045000"/>
    <n v="9085"/>
    <n v="2044655000"/>
    <n v="4984"/>
    <n v="1207830000"/>
    <n v="23214"/>
    <n v="5929530000"/>
    <n v="255429.05"/>
    <n v="0.182958"/>
  </r>
  <r>
    <s v="VT"/>
    <s v="Vermont"/>
    <x v="1"/>
    <s v="New England"/>
    <x v="4"/>
    <n v="7322"/>
    <n v="2497190000"/>
    <n v="2658"/>
    <n v="577580000"/>
    <n v="2801"/>
    <n v="668795000"/>
    <n v="12781"/>
    <n v="3743565000"/>
    <n v="292900.79"/>
    <n v="0.095565"/>
  </r>
  <r>
    <s v="VT"/>
    <s v="Vermont"/>
    <x v="1"/>
    <s v="New England"/>
    <x v="5"/>
    <n v="5486"/>
    <n v="1825900000"/>
    <n v="1327"/>
    <n v="266655000"/>
    <n v="975"/>
    <n v="208925000"/>
    <n v="7788"/>
    <n v="2301480000"/>
    <n v="295516.18"/>
    <n v="0.107713"/>
  </r>
  <r>
    <s v="VT"/>
    <s v="Vermont"/>
    <x v="1"/>
    <s v="New England"/>
    <x v="6"/>
    <n v="5861"/>
    <n v="2127525000"/>
    <n v="1560"/>
    <n v="367430000"/>
    <n v="1103"/>
    <n v="250845000"/>
    <n v="8524"/>
    <n v="2745800000"/>
    <n v="322125.76"/>
    <n v="0.069192"/>
  </r>
  <r>
    <s v="VT"/>
    <s v="Vermont"/>
    <x v="1"/>
    <s v="New England"/>
    <x v="7"/>
    <n v="6445"/>
    <n v="2351655000"/>
    <n v="2174"/>
    <n v="582750000"/>
    <n v="1463"/>
    <n v="347855000"/>
    <n v="10082"/>
    <n v="3282260000"/>
    <n v="325556.44"/>
    <n v="0.039251"/>
  </r>
  <r>
    <s v="VA"/>
    <s v="Virginia"/>
    <x v="2"/>
    <s v="South Atlantic"/>
    <x v="0"/>
    <n v="126055"/>
    <n v="40083965000"/>
    <n v="28560"/>
    <n v="8888610000"/>
    <n v="29044"/>
    <n v="7196350000"/>
    <n v="183659"/>
    <n v="56168925000"/>
    <n v="305832.68"/>
    <n v="0.044427"/>
  </r>
  <r>
    <s v="VA"/>
    <s v="Virginia"/>
    <x v="2"/>
    <s v="South Atlantic"/>
    <x v="1"/>
    <n v="134404"/>
    <n v="44657410000"/>
    <n v="68456"/>
    <n v="25062210000"/>
    <n v="37247"/>
    <n v="10439395000"/>
    <n v="240107"/>
    <n v="80159015000"/>
    <n v="333847.06"/>
    <n v="0.053181"/>
  </r>
  <r>
    <s v="VA"/>
    <s v="Virginia"/>
    <x v="2"/>
    <s v="South Atlantic"/>
    <x v="2"/>
    <n v="148659"/>
    <n v="50735745000"/>
    <n v="244471"/>
    <n v="85286345000"/>
    <n v="56034"/>
    <n v="17556540000"/>
    <n v="449164"/>
    <n v="153578630000"/>
    <n v="341921.06"/>
    <n v="0.105291"/>
  </r>
  <r>
    <s v="VA"/>
    <s v="Virginia"/>
    <x v="2"/>
    <s v="South Atlantic"/>
    <x v="3"/>
    <n v="167028"/>
    <n v="63140440000"/>
    <n v="198915"/>
    <n v="67285315000"/>
    <n v="81112"/>
    <n v="24627350000"/>
    <n v="447055"/>
    <n v="155053105000"/>
    <n v="346832.28"/>
    <n v="0.13443"/>
  </r>
  <r>
    <s v="VA"/>
    <s v="Virginia"/>
    <x v="2"/>
    <s v="South Atlantic"/>
    <x v="4"/>
    <n v="130317"/>
    <n v="53120055000"/>
    <n v="27413"/>
    <n v="9282855000"/>
    <n v="41261"/>
    <n v="12328635000"/>
    <n v="198991"/>
    <n v="74731545000"/>
    <n v="375552.39"/>
    <n v="0.082709"/>
  </r>
  <r>
    <s v="VA"/>
    <s v="Virginia"/>
    <x v="2"/>
    <s v="South Atlantic"/>
    <x v="5"/>
    <n v="97993"/>
    <n v="39434725000"/>
    <n v="10567"/>
    <n v="4433945000"/>
    <n v="17941"/>
    <n v="4295875000"/>
    <n v="126501"/>
    <n v="48164545000"/>
    <n v="380744.38"/>
    <n v="0.071558"/>
  </r>
  <r>
    <s v="VA"/>
    <s v="Virginia"/>
    <x v="2"/>
    <s v="South Atlantic"/>
    <x v="6"/>
    <n v="102212"/>
    <n v="43110090000"/>
    <n v="20878"/>
    <n v="10085400000"/>
    <n v="22530"/>
    <n v="6199530000"/>
    <n v="145620"/>
    <n v="59395020000"/>
    <n v="407876.8"/>
    <n v="0.058691"/>
  </r>
  <r>
    <s v="VA"/>
    <s v="Virginia"/>
    <x v="2"/>
    <s v="South Atlantic"/>
    <x v="7"/>
    <n v="103337"/>
    <n v="46683085000"/>
    <n v="31796"/>
    <n v="17665370000"/>
    <n v="28965"/>
    <n v="7475065000"/>
    <n v="164098"/>
    <n v="71823520000"/>
    <n v="437686.75"/>
    <n v="0.037856"/>
  </r>
  <r>
    <s v="WA"/>
    <s v="Washington"/>
    <x v="3"/>
    <s v="Pacific"/>
    <x v="0"/>
    <n v="125080"/>
    <n v="46937720000"/>
    <n v="32331"/>
    <n v="10583725000"/>
    <n v="46326"/>
    <n v="14020100000"/>
    <n v="203737"/>
    <n v="71541545000"/>
    <n v="351146.55"/>
    <n v="0.076895"/>
  </r>
  <r>
    <s v="WA"/>
    <s v="Washington"/>
    <x v="3"/>
    <s v="Pacific"/>
    <x v="1"/>
    <n v="127209"/>
    <n v="51286095000"/>
    <n v="81188"/>
    <n v="32281500000"/>
    <n v="61312"/>
    <n v="19827320000"/>
    <n v="269709"/>
    <n v="103394915000"/>
    <n v="383357.3"/>
    <n v="0.078008"/>
  </r>
  <r>
    <s v="WA"/>
    <s v="Washington"/>
    <x v="3"/>
    <s v="Pacific"/>
    <x v="2"/>
    <n v="135043"/>
    <n v="57116065000"/>
    <n v="244216"/>
    <n v="89130320000"/>
    <n v="96223"/>
    <n v="31857335000"/>
    <n v="475482"/>
    <n v="178103720000"/>
    <n v="374575.1"/>
    <n v="0.140243"/>
  </r>
  <r>
    <s v="WA"/>
    <s v="Washington"/>
    <x v="3"/>
    <s v="Pacific"/>
    <x v="3"/>
    <n v="148056"/>
    <n v="74461470000"/>
    <n v="183512"/>
    <n v="68027380000"/>
    <n v="118371"/>
    <n v="42480925000"/>
    <n v="449939"/>
    <n v="184969775000"/>
    <n v="411099.67"/>
    <n v="0.192995"/>
  </r>
  <r>
    <s v="WA"/>
    <s v="Washington"/>
    <x v="3"/>
    <s v="Pacific"/>
    <x v="4"/>
    <n v="109572"/>
    <n v="61999740000"/>
    <n v="27045"/>
    <n v="12474615000"/>
    <n v="45704"/>
    <n v="17874350000"/>
    <n v="182321"/>
    <n v="92348705000"/>
    <n v="506517.1"/>
    <n v="0.030872"/>
  </r>
  <r>
    <s v="WA"/>
    <s v="Washington"/>
    <x v="3"/>
    <s v="Pacific"/>
    <x v="5"/>
    <n v="78797"/>
    <n v="41470195000"/>
    <n v="9509"/>
    <n v="5250845000"/>
    <n v="13583"/>
    <n v="4826695000"/>
    <n v="101889"/>
    <n v="51547735000"/>
    <n v="505920.51"/>
    <n v="0.03426"/>
  </r>
  <r>
    <s v="WA"/>
    <s v="Washington"/>
    <x v="3"/>
    <s v="Pacific"/>
    <x v="6"/>
    <n v="83646"/>
    <n v="45825260000"/>
    <n v="18628"/>
    <n v="10419640000"/>
    <n v="17402"/>
    <n v="6053790000"/>
    <n v="119676"/>
    <n v="62298690000"/>
    <n v="520561.27"/>
    <n v="0.030393"/>
  </r>
  <r>
    <s v="WA"/>
    <s v="Washington"/>
    <x v="3"/>
    <s v="Pacific"/>
    <x v="7"/>
    <n v="85968"/>
    <n v="48461640000"/>
    <n v="30736"/>
    <n v="18372490000"/>
    <n v="23431"/>
    <n v="7906275000"/>
    <n v="140135"/>
    <n v="74740405000"/>
    <n v="533345.74"/>
    <n v="0.022083"/>
  </r>
  <r>
    <s v="WV"/>
    <s v="West Virginia"/>
    <x v="2"/>
    <s v="South Atlantic"/>
    <x v="0"/>
    <n v="17063"/>
    <n v="2804085000"/>
    <n v="5074"/>
    <n v="760940000"/>
    <n v="4241"/>
    <n v="587665000"/>
    <n v="26378"/>
    <n v="4152690000"/>
    <n v="157430.06"/>
    <n v="0.001071"/>
  </r>
  <r>
    <s v="WV"/>
    <s v="West Virginia"/>
    <x v="2"/>
    <s v="South Atlantic"/>
    <x v="1"/>
    <n v="18138"/>
    <n v="3074230000"/>
    <n v="6494"/>
    <n v="1189540000"/>
    <n v="4461"/>
    <n v="678525000"/>
    <n v="29093"/>
    <n v="4942295000"/>
    <n v="169879.18"/>
    <n v="0.073867"/>
  </r>
  <r>
    <s v="WV"/>
    <s v="West Virginia"/>
    <x v="2"/>
    <s v="South Atlantic"/>
    <x v="2"/>
    <n v="19242"/>
    <n v="3471110000"/>
    <n v="16079"/>
    <n v="3353655000"/>
    <n v="5496"/>
    <n v="930420000"/>
    <n v="40817"/>
    <n v="7755185000"/>
    <n v="189998.9"/>
    <n v="0.057556"/>
  </r>
  <r>
    <s v="WV"/>
    <s v="West Virginia"/>
    <x v="2"/>
    <s v="South Atlantic"/>
    <x v="3"/>
    <n v="22262"/>
    <n v="4455370000"/>
    <n v="16392"/>
    <n v="3096190000"/>
    <n v="7659"/>
    <n v="1375035000"/>
    <n v="46313"/>
    <n v="8926595000"/>
    <n v="192744.91"/>
    <n v="0.123191"/>
  </r>
  <r>
    <s v="WV"/>
    <s v="West Virginia"/>
    <x v="2"/>
    <s v="South Atlantic"/>
    <x v="4"/>
    <n v="19367"/>
    <n v="4140325000"/>
    <n v="4811"/>
    <n v="1012255000"/>
    <n v="5128"/>
    <n v="875930000"/>
    <n v="29306"/>
    <n v="6028510000"/>
    <n v="205709.07"/>
    <n v="0.05829"/>
  </r>
  <r>
    <s v="WV"/>
    <s v="West Virginia"/>
    <x v="2"/>
    <s v="South Atlantic"/>
    <x v="5"/>
    <n v="16272"/>
    <n v="3405970000"/>
    <n v="2287"/>
    <n v="345115000"/>
    <n v="2835"/>
    <n v="443875000"/>
    <n v="21394"/>
    <n v="4194960000"/>
    <n v="196081.14"/>
    <n v="0.122875"/>
  </r>
  <r>
    <s v="WV"/>
    <s v="West Virginia"/>
    <x v="2"/>
    <s v="South Atlantic"/>
    <x v="6"/>
    <n v="16671"/>
    <n v="3797365000"/>
    <n v="2784"/>
    <n v="586980000"/>
    <n v="3325"/>
    <n v="518265000"/>
    <n v="22780"/>
    <n v="4902610000"/>
    <n v="215215.54"/>
    <n v="0.033653"/>
  </r>
  <r>
    <s v="WV"/>
    <s v="West Virginia"/>
    <x v="2"/>
    <s v="South Atlantic"/>
    <x v="7"/>
    <n v="17150"/>
    <n v="4111820000"/>
    <n v="3738"/>
    <n v="901390000"/>
    <n v="4042"/>
    <n v="689220000"/>
    <n v="24930"/>
    <n v="5702430000"/>
    <n v="228737.67"/>
    <n v="0.004469"/>
  </r>
  <r>
    <s v="WI"/>
    <s v="Wisconsin"/>
    <x v="0"/>
    <s v="East North Central"/>
    <x v="0"/>
    <n v="81610"/>
    <n v="16702810000"/>
    <n v="29135"/>
    <n v="5139135000"/>
    <n v="22455"/>
    <n v="3503495000"/>
    <n v="133200"/>
    <n v="25345440000"/>
    <n v="190281.08"/>
    <n v="0.069702"/>
  </r>
  <r>
    <s v="WI"/>
    <s v="Wisconsin"/>
    <x v="0"/>
    <s v="East North Central"/>
    <x v="1"/>
    <n v="82816"/>
    <n v="17648230000"/>
    <n v="54131"/>
    <n v="11674785000"/>
    <n v="31946"/>
    <n v="5599080000"/>
    <n v="168893"/>
    <n v="34922095000"/>
    <n v="206770.53"/>
    <n v="0.064653"/>
  </r>
  <r>
    <s v="WI"/>
    <s v="Wisconsin"/>
    <x v="0"/>
    <s v="East North Central"/>
    <x v="2"/>
    <n v="89845"/>
    <n v="20935215000"/>
    <n v="147476"/>
    <n v="31604360000"/>
    <n v="54937"/>
    <n v="10722005000"/>
    <n v="292258"/>
    <n v="63261580000"/>
    <n v="216457.99"/>
    <n v="0.105036"/>
  </r>
  <r>
    <s v="WI"/>
    <s v="Wisconsin"/>
    <x v="0"/>
    <s v="East North Central"/>
    <x v="3"/>
    <n v="93582"/>
    <n v="24132200000"/>
    <n v="119920"/>
    <n v="24517670000"/>
    <n v="61601"/>
    <n v="12358175000"/>
    <n v="275103"/>
    <n v="61008045000"/>
    <n v="221764.38"/>
    <n v="0.133756"/>
  </r>
  <r>
    <s v="WI"/>
    <s v="Wisconsin"/>
    <x v="0"/>
    <s v="East North Central"/>
    <x v="4"/>
    <n v="77315"/>
    <n v="22498745000"/>
    <n v="28923"/>
    <n v="6458895000"/>
    <n v="28368"/>
    <n v="5594620000"/>
    <n v="134606"/>
    <n v="34552260000"/>
    <n v="256691.83"/>
    <n v="0.095627"/>
  </r>
  <r>
    <s v="WI"/>
    <s v="Wisconsin"/>
    <x v="0"/>
    <s v="East North Central"/>
    <x v="5"/>
    <n v="60124"/>
    <n v="17612540000"/>
    <n v="17110"/>
    <n v="3478040000"/>
    <n v="14005"/>
    <n v="2280045000"/>
    <n v="91239"/>
    <n v="23370625000"/>
    <n v="256147.32"/>
    <n v="0.086907"/>
  </r>
  <r>
    <s v="WI"/>
    <s v="Wisconsin"/>
    <x v="0"/>
    <s v="East North Central"/>
    <x v="6"/>
    <n v="63592"/>
    <n v="19232210000"/>
    <n v="21180"/>
    <n v="5060980000"/>
    <n v="17987"/>
    <n v="3233835000"/>
    <n v="102759"/>
    <n v="27527025000"/>
    <n v="267879.46"/>
    <n v="0.067528"/>
  </r>
  <r>
    <s v="WI"/>
    <s v="Wisconsin"/>
    <x v="0"/>
    <s v="East North Central"/>
    <x v="7"/>
    <n v="66746"/>
    <n v="22006350000"/>
    <n v="28694"/>
    <n v="8286920000"/>
    <n v="22205"/>
    <n v="4363325000"/>
    <n v="117645"/>
    <n v="34656595000"/>
    <n v="294586.21"/>
    <n v="0.056952"/>
  </r>
  <r>
    <s v="WY"/>
    <s v="Wyoming"/>
    <x v="3"/>
    <s v="Mountain"/>
    <x v="0"/>
    <n v="9040"/>
    <n v="1970970000"/>
    <n v="1563"/>
    <n v="340245000"/>
    <n v="2103"/>
    <n v="440525000"/>
    <n v="12706"/>
    <n v="2751740000"/>
    <n v="216570.12"/>
    <n v="0.036058"/>
  </r>
  <r>
    <s v="WY"/>
    <s v="Wyoming"/>
    <x v="3"/>
    <s v="Mountain"/>
    <x v="1"/>
    <n v="9206"/>
    <n v="2188100000"/>
    <n v="3085"/>
    <n v="911805000"/>
    <n v="2696"/>
    <n v="700210000"/>
    <n v="14987"/>
    <n v="3800115000"/>
    <n v="253560.75"/>
    <n v="0.061312"/>
  </r>
  <r>
    <s v="WY"/>
    <s v="Wyoming"/>
    <x v="3"/>
    <s v="Mountain"/>
    <x v="2"/>
    <n v="10136"/>
    <n v="2700670000"/>
    <n v="11077"/>
    <n v="3018655000"/>
    <n v="4031"/>
    <n v="1114895000"/>
    <n v="25244"/>
    <n v="6834220000"/>
    <n v="270726.51"/>
    <n v="0.081801"/>
  </r>
  <r>
    <s v="WY"/>
    <s v="Wyoming"/>
    <x v="3"/>
    <s v="Mountain"/>
    <x v="3"/>
    <n v="10874"/>
    <n v="3457220000"/>
    <n v="9451"/>
    <n v="2533215000"/>
    <n v="5244"/>
    <n v="1509390000"/>
    <n v="25569"/>
    <n v="7499825000"/>
    <n v="293317.1"/>
    <n v="0.166941"/>
  </r>
  <r>
    <s v="WY"/>
    <s v="Wyoming"/>
    <x v="3"/>
    <s v="Mountain"/>
    <x v="4"/>
    <n v="8350"/>
    <n v="2839290000"/>
    <n v="1745"/>
    <n v="600165000"/>
    <n v="2803"/>
    <n v="835205000"/>
    <n v="12898"/>
    <n v="4274660000"/>
    <n v="331420.38"/>
    <n v="0.073942"/>
  </r>
  <r>
    <s v="WY"/>
    <s v="Wyoming"/>
    <x v="3"/>
    <s v="Mountain"/>
    <x v="5"/>
    <n v="6348"/>
    <n v="1987460000"/>
    <n v="601"/>
    <n v="193135000"/>
    <n v="1203"/>
    <n v="279195000"/>
    <n v="8152"/>
    <n v="2459790000"/>
    <n v="301740.68"/>
    <n v="0.026732"/>
  </r>
  <r>
    <s v="WY"/>
    <s v="Wyoming"/>
    <x v="3"/>
    <s v="Mountain"/>
    <x v="6"/>
    <n v="6681"/>
    <n v="2167785000"/>
    <n v="1122"/>
    <n v="420900000"/>
    <n v="1620"/>
    <n v="380940000"/>
    <n v="9423"/>
    <n v="2969625000"/>
    <n v="315146.45"/>
    <n v="0.074831"/>
  </r>
  <r>
    <s v="WY"/>
    <s v="Wyoming"/>
    <x v="3"/>
    <s v="Mountain"/>
    <x v="7"/>
    <n v="7320"/>
    <n v="2578610000"/>
    <n v="1900"/>
    <n v="790450000"/>
    <n v="2066"/>
    <n v="502770000"/>
    <n v="11286"/>
    <n v="3871830000"/>
    <n v="343064.86"/>
    <n v="0.032775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tRegionYear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Region" colHeaderCaption="Year">
  <location ref="A3:S10" firstHeaderRow="1" firstDataRow="3" firstDataCol="1"/>
  <pivotFields count="16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4"/>
  </colFields>
  <colItems count="1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t="grand">
      <x/>
    </i>
    <i t="grand" i="1">
      <x/>
    </i>
  </colItems>
  <dataFields count="2">
    <dataField name="Loans (count)" fld="11" baseField="0" baseItem="0" numFmtId="3"/>
    <dataField name="Average loan size" fld="15" baseField="0" baseItem="0" numFmtId="166"/>
  </dataField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Data" displayName="tblData" ref="A1:O409" totalsRowShown="0">
  <autoFilter ref="A1:O409"/>
  <tableColumns count="15">
    <tableColumn id="1" name="State code"/>
    <tableColumn id="2" name="State"/>
    <tableColumn id="3" name="Region"/>
    <tableColumn id="4" name="Division"/>
    <tableColumn id="5" name="Year"/>
    <tableColumn id="6" name="Purchase loans" dataDxfId="0"/>
    <tableColumn id="7" name="Purchase volume" dataDxfId="1"/>
    <tableColumn id="8" name="Refinance loans" dataDxfId="0"/>
    <tableColumn id="9" name="Refinance volume" dataDxfId="1"/>
    <tableColumn id="10" name="Cash-out refi loans" dataDxfId="0"/>
    <tableColumn id="11" name="Cash-out refi volume" dataDxfId="1"/>
    <tableColumn id="12" name="Total loans" dataDxfId="0"/>
    <tableColumn id="13" name="Total dollar volume" dataDxfId="1"/>
    <tableColumn id="14" name="Avg loan size" dataDxfId="1"/>
    <tableColumn id="15" name="Q4 HPI YoY chang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PivotTable1" Type="http://schemas.openxmlformats.org/officeDocument/2006/relationships/pivotTable" Target="../pivotTables/pivot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hfa.gov/hpi/download/monthly/hpi_master.csv" TargetMode="External"/><Relationship Id="rId2" Type="http://schemas.openxmlformats.org/officeDocument/2006/relationships/hyperlink" Target="https://ffiec.cfpb.gov/v2/data-browser-api/view/aggregations" TargetMode="External"/><Relationship Id="rId3" Type="http://schemas.openxmlformats.org/officeDocument/2006/relationships/hyperlink" Target="https://www2.census.gov/geo/pdfs/maps-data/maps/reference/us_regdiv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2.7109375" customWidth="1"/>
    <col min="2" max="2" width="22.7109375" customWidth="1"/>
    <col min="3" max="10" width="9.7109375" customWidth="1"/>
    <col min="11" max="12" width="14.7109375" customWidth="1"/>
    <col min="13" max="13" width="3.7109375" customWidth="1"/>
    <col min="14" max="14" width="12.7109375" customWidth="1"/>
  </cols>
  <sheetData>
    <row r="1" spans="2:14" ht="30" customHeight="1">
      <c r="B1" s="1" t="s">
        <v>204</v>
      </c>
    </row>
    <row r="2" spans="2:14">
      <c r="B2" s="2" t="s">
        <v>205</v>
      </c>
    </row>
    <row r="4" spans="2:14" ht="24" customHeight="1">
      <c r="B4" s="3" t="s">
        <v>206</v>
      </c>
      <c r="C4" s="4" t="s">
        <v>121</v>
      </c>
      <c r="D4" s="4"/>
      <c r="E4" s="4"/>
      <c r="F4" s="5" t="s">
        <v>207</v>
      </c>
      <c r="N4" s="6" t="s">
        <v>219</v>
      </c>
    </row>
    <row r="5" spans="2:14">
      <c r="N5" s="5" t="s">
        <v>220</v>
      </c>
    </row>
    <row r="6" spans="2:14" ht="20" customHeight="1">
      <c r="B6" s="7" t="s">
        <v>208</v>
      </c>
      <c r="C6" s="7"/>
      <c r="D6" s="7" t="s">
        <v>209</v>
      </c>
      <c r="E6" s="7"/>
      <c r="F6" s="7"/>
      <c r="G6" s="7" t="s">
        <v>210</v>
      </c>
      <c r="H6" s="7"/>
      <c r="I6" s="7"/>
      <c r="J6" s="7" t="s">
        <v>211</v>
      </c>
      <c r="K6" s="7"/>
      <c r="L6" s="7"/>
      <c r="N6" s="5" t="s">
        <v>221</v>
      </c>
    </row>
    <row r="7" spans="2:14" ht="22" customHeight="1">
      <c r="B7" s="8">
        <f>INDEX(Calc!$D$2:$D$52,MATCH($C$4,Calc!$B$2:$B$52,0))</f>
        <v>0.030320097625082143</v>
      </c>
      <c r="C7" s="8"/>
      <c r="D7" s="8">
        <f>INDEX(Calc!$E$2:$E$52,MATCH($C$4,Calc!$B$2:$B$52,0))</f>
        <v>0.6180883787230851</v>
      </c>
      <c r="E7" s="8"/>
      <c r="F7" s="8"/>
      <c r="G7" s="9">
        <f>SUMIFS(tblData[Total loans],tblData[State],$C$4,tblData[Year],2025)</f>
        <v>164098</v>
      </c>
      <c r="H7" s="9"/>
      <c r="I7" s="9"/>
      <c r="J7" s="10">
        <f>SUMIFS(tblData[Total dollar volume],tblData[State],$C$4,tblData[Year],2025)/SUMIFS(tblData[Total loans],tblData[State],$C$4,tblData[Year],2025)</f>
        <v>437686.75</v>
      </c>
      <c r="K7" s="10"/>
      <c r="L7" s="10"/>
    </row>
    <row r="8" spans="2:14" ht="22" customHeight="1">
      <c r="B8" s="8"/>
      <c r="C8" s="8"/>
      <c r="D8" s="8"/>
      <c r="E8" s="8"/>
      <c r="F8" s="8"/>
      <c r="G8" s="9"/>
      <c r="H8" s="9"/>
      <c r="I8" s="9"/>
      <c r="J8" s="10"/>
      <c r="K8" s="10"/>
      <c r="L8" s="10"/>
    </row>
    <row r="9" spans="2:14" ht="18" customHeight="1">
      <c r="B9" s="11" t="str">
        <f>"U.S.: "&amp;TEXT(Calc!$I$2,"+0.0%;-0.0%;0.0%")</f>
        <v>U.S.: +2.1%</v>
      </c>
      <c r="C9" s="11"/>
      <c r="D9" s="11" t="str">
        <f>"U.S.: "&amp;TEXT(Calc!$I$3,"+0.0%;-0.0%;0.0%")</f>
        <v>U.S.: +60.5%</v>
      </c>
      <c r="E9" s="11"/>
      <c r="F9" s="11"/>
      <c r="G9" s="11" t="str">
        <f>"vs. 2024: "&amp;TEXT(SUMIFS(tblData[Total loans],tblData[State],$C$4,tblData[Year],2025)/SUMIFS(tblData[Total loans],tblData[State],$C$4,tblData[Year],2024)-1,"+0.0%;-0.0%;0.0%")</f>
        <v>vs. 2024: +12.7%</v>
      </c>
      <c r="H9" s="11"/>
      <c r="I9" s="11"/>
      <c r="J9" s="11" t="str">
        <f>"U.S.: "&amp;TEXT(Calc!$I$4,"$#,##0")</f>
        <v>U.S.: $397,321</v>
      </c>
      <c r="K9" s="11"/>
      <c r="L9" s="11"/>
    </row>
    <row r="11" spans="2:14">
      <c r="B11" s="12" t="s">
        <v>212</v>
      </c>
    </row>
    <row r="12" spans="2:14">
      <c r="B12" s="13" t="s">
        <v>1</v>
      </c>
      <c r="C12" s="13">
        <v>2018</v>
      </c>
      <c r="D12" s="13">
        <v>2019</v>
      </c>
      <c r="E12" s="13">
        <v>2020</v>
      </c>
      <c r="F12" s="13">
        <v>2021</v>
      </c>
      <c r="G12" s="13">
        <v>2022</v>
      </c>
      <c r="H12" s="13">
        <v>2023</v>
      </c>
      <c r="I12" s="13">
        <v>2024</v>
      </c>
      <c r="J12" s="13">
        <v>2025</v>
      </c>
      <c r="K12" s="13" t="s">
        <v>213</v>
      </c>
      <c r="L12" s="13" t="s">
        <v>214</v>
      </c>
    </row>
    <row r="13" spans="2:14">
      <c r="B13" t="s">
        <v>16</v>
      </c>
      <c r="C13" s="14">
        <f>SUMIFS(tblData[Q4 HPI YoY change],tblData[State],$B13,tblData[Year],C$12)</f>
        <v>0.046723</v>
      </c>
      <c r="D13" s="14">
        <f>SUMIFS(tblData[Q4 HPI YoY change],tblData[State],$B13,tblData[Year],D$12)</f>
        <v>0.065616</v>
      </c>
      <c r="E13" s="14">
        <f>SUMIFS(tblData[Q4 HPI YoY change],tblData[State],$B13,tblData[Year],E$12)</f>
        <v>0.113352</v>
      </c>
      <c r="F13" s="14">
        <f>SUMIFS(tblData[Q4 HPI YoY change],tblData[State],$B13,tblData[Year],F$12)</f>
        <v>0.170088</v>
      </c>
      <c r="G13" s="14">
        <f>SUMIFS(tblData[Q4 HPI YoY change],tblData[State],$B13,tblData[Year],G$12)</f>
        <v>0.09743</v>
      </c>
      <c r="H13" s="14">
        <f>SUMIFS(tblData[Q4 HPI YoY change],tblData[State],$B13,tblData[Year],H$12)</f>
        <v>0.041433</v>
      </c>
      <c r="I13" s="14">
        <f>SUMIFS(tblData[Q4 HPI YoY change],tblData[State],$B13,tblData[Year],I$12)</f>
        <v>0.048609</v>
      </c>
      <c r="J13" s="14">
        <f>SUMIFS(tblData[Q4 HPI YoY change],tblData[State],$B13,tblData[Year],J$12)</f>
        <v>0.024969</v>
      </c>
    </row>
    <row r="14" spans="2:14">
      <c r="B14" t="s">
        <v>20</v>
      </c>
      <c r="C14" s="14">
        <f>SUMIFS(tblData[Q4 HPI YoY change],tblData[State],$B14,tblData[Year],C$12)</f>
        <v>0.013034</v>
      </c>
      <c r="D14" s="14">
        <f>SUMIFS(tblData[Q4 HPI YoY change],tblData[State],$B14,tblData[Year],D$12)</f>
        <v>0.040887</v>
      </c>
      <c r="E14" s="14">
        <f>SUMIFS(tblData[Q4 HPI YoY change],tblData[State],$B14,tblData[Year],E$12)</f>
        <v>0.085273</v>
      </c>
      <c r="F14" s="14">
        <f>SUMIFS(tblData[Q4 HPI YoY change],tblData[State],$B14,tblData[Year],F$12)</f>
        <v>0.104741</v>
      </c>
      <c r="G14" s="14">
        <f>SUMIFS(tblData[Q4 HPI YoY change],tblData[State],$B14,tblData[Year],G$12)</f>
        <v>0.055185</v>
      </c>
      <c r="H14" s="14">
        <f>SUMIFS(tblData[Q4 HPI YoY change],tblData[State],$B14,tblData[Year],H$12)</f>
        <v>0.064347</v>
      </c>
      <c r="I14" s="14">
        <f>SUMIFS(tblData[Q4 HPI YoY change],tblData[State],$B14,tblData[Year],I$12)</f>
        <v>0.038606</v>
      </c>
      <c r="J14" s="14">
        <f>SUMIFS(tblData[Q4 HPI YoY change],tblData[State],$B14,tblData[Year],J$12)</f>
        <v>0.045982</v>
      </c>
    </row>
    <row r="15" spans="2:14">
      <c r="B15" t="s">
        <v>24</v>
      </c>
      <c r="C15" s="14">
        <f>SUMIFS(tblData[Q4 HPI YoY change],tblData[State],$B15,tblData[Year],C$12)</f>
        <v>0.083673</v>
      </c>
      <c r="D15" s="14">
        <f>SUMIFS(tblData[Q4 HPI YoY change],tblData[State],$B15,tblData[Year],D$12)</f>
        <v>0.079201</v>
      </c>
      <c r="E15" s="14">
        <f>SUMIFS(tblData[Q4 HPI YoY change],tblData[State],$B15,tblData[Year],E$12)</f>
        <v>0.141687</v>
      </c>
      <c r="F15" s="14">
        <f>SUMIFS(tblData[Q4 HPI YoY change],tblData[State],$B15,tblData[Year],F$12)</f>
        <v>0.272187</v>
      </c>
      <c r="G15" s="14">
        <f>SUMIFS(tblData[Q4 HPI YoY change],tblData[State],$B15,tblData[Year],G$12)</f>
        <v>0.051615</v>
      </c>
      <c r="H15" s="14">
        <f>SUMIFS(tblData[Q4 HPI YoY change],tblData[State],$B15,tblData[Year],H$12)</f>
        <v>0.057833</v>
      </c>
      <c r="I15" s="14">
        <f>SUMIFS(tblData[Q4 HPI YoY change],tblData[State],$B15,tblData[Year],I$12)</f>
        <v>0.018212</v>
      </c>
      <c r="J15" s="14">
        <f>SUMIFS(tblData[Q4 HPI YoY change],tblData[State],$B15,tblData[Year],J$12)</f>
        <v>0.00777</v>
      </c>
    </row>
    <row r="16" spans="2:14">
      <c r="B16" t="s">
        <v>27</v>
      </c>
      <c r="C16" s="14">
        <f>SUMIFS(tblData[Q4 HPI YoY change],tblData[State],$B16,tblData[Year],C$12)</f>
        <v>0.033379</v>
      </c>
      <c r="D16" s="14">
        <f>SUMIFS(tblData[Q4 HPI YoY change],tblData[State],$B16,tblData[Year],D$12)</f>
        <v>0.039187</v>
      </c>
      <c r="E16" s="14">
        <f>SUMIFS(tblData[Q4 HPI YoY change],tblData[State],$B16,tblData[Year],E$12)</f>
        <v>0.108858</v>
      </c>
      <c r="F16" s="14">
        <f>SUMIFS(tblData[Q4 HPI YoY change],tblData[State],$B16,tblData[Year],F$12)</f>
        <v>0.185314</v>
      </c>
      <c r="G16" s="14">
        <f>SUMIFS(tblData[Q4 HPI YoY change],tblData[State],$B16,tblData[Year],G$12)</f>
        <v>0.093785</v>
      </c>
      <c r="H16" s="14">
        <f>SUMIFS(tblData[Q4 HPI YoY change],tblData[State],$B16,tblData[Year],H$12)</f>
        <v>0.056389</v>
      </c>
      <c r="I16" s="14">
        <f>SUMIFS(tblData[Q4 HPI YoY change],tblData[State],$B16,tblData[Year],I$12)</f>
        <v>0.043951</v>
      </c>
      <c r="J16" s="14">
        <f>SUMIFS(tblData[Q4 HPI YoY change],tblData[State],$B16,tblData[Year],J$12)</f>
        <v>0.040333</v>
      </c>
    </row>
    <row r="17" spans="2:14">
      <c r="B17" t="s">
        <v>30</v>
      </c>
      <c r="C17" s="14">
        <f>SUMIFS(tblData[Q4 HPI YoY change],tblData[State],$B17,tblData[Year],C$12)</f>
        <v>0.048003</v>
      </c>
      <c r="D17" s="14">
        <f>SUMIFS(tblData[Q4 HPI YoY change],tblData[State],$B17,tblData[Year],D$12)</f>
        <v>0.044401</v>
      </c>
      <c r="E17" s="14">
        <f>SUMIFS(tblData[Q4 HPI YoY change],tblData[State],$B17,tblData[Year],E$12)</f>
        <v>0.115793</v>
      </c>
      <c r="F17" s="14">
        <f>SUMIFS(tblData[Q4 HPI YoY change],tblData[State],$B17,tblData[Year],F$12)</f>
        <v>0.191342</v>
      </c>
      <c r="G17" s="14">
        <f>SUMIFS(tblData[Q4 HPI YoY change],tblData[State],$B17,tblData[Year],G$12)</f>
        <v>0.012414</v>
      </c>
      <c r="H17" s="14">
        <f>SUMIFS(tblData[Q4 HPI YoY change],tblData[State],$B17,tblData[Year],H$12)</f>
        <v>0.048409</v>
      </c>
      <c r="I17" s="14">
        <f>SUMIFS(tblData[Q4 HPI YoY change],tblData[State],$B17,tblData[Year],I$12)</f>
        <v>0.024759</v>
      </c>
      <c r="J17" s="14">
        <f>SUMIFS(tblData[Q4 HPI YoY change],tblData[State],$B17,tblData[Year],J$12)</f>
        <v>-0.00467</v>
      </c>
    </row>
    <row r="18" spans="2:14">
      <c r="B18" t="s">
        <v>32</v>
      </c>
      <c r="C18" s="14">
        <f>SUMIFS(tblData[Q4 HPI YoY change],tblData[State],$B18,tblData[Year],C$12)</f>
        <v>0.068277</v>
      </c>
      <c r="D18" s="14">
        <f>SUMIFS(tblData[Q4 HPI YoY change],tblData[State],$B18,tblData[Year],D$12)</f>
        <v>0.061513</v>
      </c>
      <c r="E18" s="14">
        <f>SUMIFS(tblData[Q4 HPI YoY change],tblData[State],$B18,tblData[Year],E$12)</f>
        <v>0.108056</v>
      </c>
      <c r="F18" s="14">
        <f>SUMIFS(tblData[Q4 HPI YoY change],tblData[State],$B18,tblData[Year],F$12)</f>
        <v>0.180695</v>
      </c>
      <c r="G18" s="14">
        <f>SUMIFS(tblData[Q4 HPI YoY change],tblData[State],$B18,tblData[Year],G$12)</f>
        <v>0.047234</v>
      </c>
      <c r="H18" s="14">
        <f>SUMIFS(tblData[Q4 HPI YoY change],tblData[State],$B18,tblData[Year],H$12)</f>
        <v>0.030588</v>
      </c>
      <c r="I18" s="14">
        <f>SUMIFS(tblData[Q4 HPI YoY change],tblData[State],$B18,tblData[Year],I$12)</f>
        <v>0.022227</v>
      </c>
      <c r="J18" s="14">
        <f>SUMIFS(tblData[Q4 HPI YoY change],tblData[State],$B18,tblData[Year],J$12)</f>
        <v>-0.014876</v>
      </c>
    </row>
    <row r="19" spans="2:14">
      <c r="B19" t="s">
        <v>34</v>
      </c>
      <c r="C19" s="14">
        <f>SUMIFS(tblData[Q4 HPI YoY change],tblData[State],$B19,tblData[Year],C$12)</f>
        <v>0.023047</v>
      </c>
      <c r="D19" s="14">
        <f>SUMIFS(tblData[Q4 HPI YoY change],tblData[State],$B19,tblData[Year],D$12)</f>
        <v>0.023353</v>
      </c>
      <c r="E19" s="14">
        <f>SUMIFS(tblData[Q4 HPI YoY change],tblData[State],$B19,tblData[Year],E$12)</f>
        <v>0.135135</v>
      </c>
      <c r="F19" s="14">
        <f>SUMIFS(tblData[Q4 HPI YoY change],tblData[State],$B19,tblData[Year],F$12)</f>
        <v>0.137121</v>
      </c>
      <c r="G19" s="14">
        <f>SUMIFS(tblData[Q4 HPI YoY change],tblData[State],$B19,tblData[Year],G$12)</f>
        <v>0.088174</v>
      </c>
      <c r="H19" s="14">
        <f>SUMIFS(tblData[Q4 HPI YoY change],tblData[State],$B19,tblData[Year],H$12)</f>
        <v>0.114507</v>
      </c>
      <c r="I19" s="14">
        <f>SUMIFS(tblData[Q4 HPI YoY change],tblData[State],$B19,tblData[Year],I$12)</f>
        <v>0.089085</v>
      </c>
      <c r="J19" s="14">
        <f>SUMIFS(tblData[Q4 HPI YoY change],tblData[State],$B19,tblData[Year],J$12)</f>
        <v>0.046341</v>
      </c>
    </row>
    <row r="20" spans="2:14">
      <c r="B20" t="s">
        <v>38</v>
      </c>
      <c r="C20" s="14">
        <f>SUMIFS(tblData[Q4 HPI YoY change],tblData[State],$B20,tblData[Year],C$12)</f>
        <v>0.039282</v>
      </c>
      <c r="D20" s="14">
        <f>SUMIFS(tblData[Q4 HPI YoY change],tblData[State],$B20,tblData[Year],D$12)</f>
        <v>0.070614</v>
      </c>
      <c r="E20" s="14">
        <f>SUMIFS(tblData[Q4 HPI YoY change],tblData[State],$B20,tblData[Year],E$12)</f>
        <v>0.083585</v>
      </c>
      <c r="F20" s="14">
        <f>SUMIFS(tblData[Q4 HPI YoY change],tblData[State],$B20,tblData[Year],F$12)</f>
        <v>0.153717</v>
      </c>
      <c r="G20" s="14">
        <f>SUMIFS(tblData[Q4 HPI YoY change],tblData[State],$B20,tblData[Year],G$12)</f>
        <v>0.121628</v>
      </c>
      <c r="H20" s="14">
        <f>SUMIFS(tblData[Q4 HPI YoY change],tblData[State],$B20,tblData[Year],H$12)</f>
        <v>0.045877</v>
      </c>
      <c r="I20" s="14">
        <f>SUMIFS(tblData[Q4 HPI YoY change],tblData[State],$B20,tblData[Year],I$12)</f>
        <v>0.035142</v>
      </c>
      <c r="J20" s="14">
        <f>SUMIFS(tblData[Q4 HPI YoY change],tblData[State],$B20,tblData[Year],J$12)</f>
        <v>0.069829</v>
      </c>
    </row>
    <row r="21" spans="2:14">
      <c r="B21" t="s">
        <v>41</v>
      </c>
      <c r="C21" s="14">
        <f>SUMIFS(tblData[Q4 HPI YoY change],tblData[State],$B21,tblData[Year],C$12)</f>
        <v>0.058342</v>
      </c>
      <c r="D21" s="14">
        <f>SUMIFS(tblData[Q4 HPI YoY change],tblData[State],$B21,tblData[Year],D$12)</f>
        <v>0.049369</v>
      </c>
      <c r="E21" s="14">
        <f>SUMIFS(tblData[Q4 HPI YoY change],tblData[State],$B21,tblData[Year],E$12)</f>
        <v>0.034729</v>
      </c>
      <c r="F21" s="14">
        <f>SUMIFS(tblData[Q4 HPI YoY change],tblData[State],$B21,tblData[Year],F$12)</f>
        <v>0.062777</v>
      </c>
      <c r="G21" s="14">
        <f>SUMIFS(tblData[Q4 HPI YoY change],tblData[State],$B21,tblData[Year],G$12)</f>
        <v>-0.041901</v>
      </c>
      <c r="H21" s="14">
        <f>SUMIFS(tblData[Q4 HPI YoY change],tblData[State],$B21,tblData[Year],H$12)</f>
        <v>0.019263</v>
      </c>
      <c r="I21" s="14">
        <f>SUMIFS(tblData[Q4 HPI YoY change],tblData[State],$B21,tblData[Year],I$12)</f>
        <v>0.02895</v>
      </c>
      <c r="J21" s="14">
        <f>SUMIFS(tblData[Q4 HPI YoY change],tblData[State],$B21,tblData[Year],J$12)</f>
        <v>-0.010255</v>
      </c>
    </row>
    <row r="22" spans="2:14">
      <c r="B22" t="s">
        <v>43</v>
      </c>
      <c r="C22" s="14">
        <f>SUMIFS(tblData[Q4 HPI YoY change],tblData[State],$B22,tblData[Year],C$12)</f>
        <v>0.069383</v>
      </c>
      <c r="D22" s="14">
        <f>SUMIFS(tblData[Q4 HPI YoY change],tblData[State],$B22,tblData[Year],D$12)</f>
        <v>0.061315</v>
      </c>
      <c r="E22" s="14">
        <f>SUMIFS(tblData[Q4 HPI YoY change],tblData[State],$B22,tblData[Year],E$12)</f>
        <v>0.118657</v>
      </c>
      <c r="F22" s="14">
        <f>SUMIFS(tblData[Q4 HPI YoY change],tblData[State],$B22,tblData[Year],F$12)</f>
        <v>0.255416</v>
      </c>
      <c r="G22" s="14">
        <f>SUMIFS(tblData[Q4 HPI YoY change],tblData[State],$B22,tblData[Year],G$12)</f>
        <v>0.130702</v>
      </c>
      <c r="H22" s="14">
        <f>SUMIFS(tblData[Q4 HPI YoY change],tblData[State],$B22,tblData[Year],H$12)</f>
        <v>0.062616</v>
      </c>
      <c r="I22" s="14">
        <f>SUMIFS(tblData[Q4 HPI YoY change],tblData[State],$B22,tblData[Year],I$12)</f>
        <v>0.020871</v>
      </c>
      <c r="J22" s="14">
        <f>SUMIFS(tblData[Q4 HPI YoY change],tblData[State],$B22,tblData[Year],J$12)</f>
        <v>-0.022847</v>
      </c>
    </row>
    <row r="23" spans="2:14">
      <c r="B23" t="s">
        <v>45</v>
      </c>
      <c r="C23" s="14">
        <f>SUMIFS(tblData[Q4 HPI YoY change],tblData[State],$B23,tblData[Year],C$12)</f>
        <v>0.07463</v>
      </c>
      <c r="D23" s="14">
        <f>SUMIFS(tblData[Q4 HPI YoY change],tblData[State],$B23,tblData[Year],D$12)</f>
        <v>0.066356</v>
      </c>
      <c r="E23" s="14">
        <f>SUMIFS(tblData[Q4 HPI YoY change],tblData[State],$B23,tblData[Year],E$12)</f>
        <v>0.116115</v>
      </c>
      <c r="F23" s="14">
        <f>SUMIFS(tblData[Q4 HPI YoY change],tblData[State],$B23,tblData[Year],F$12)</f>
        <v>0.205864</v>
      </c>
      <c r="G23" s="14">
        <f>SUMIFS(tblData[Q4 HPI YoY change],tblData[State],$B23,tblData[Year],G$12)</f>
        <v>0.111059</v>
      </c>
      <c r="H23" s="14">
        <f>SUMIFS(tblData[Q4 HPI YoY change],tblData[State],$B23,tblData[Year],H$12)</f>
        <v>0.064505</v>
      </c>
      <c r="I23" s="14">
        <f>SUMIFS(tblData[Q4 HPI YoY change],tblData[State],$B23,tblData[Year],I$12)</f>
        <v>0.048148</v>
      </c>
      <c r="J23" s="14">
        <f>SUMIFS(tblData[Q4 HPI YoY change],tblData[State],$B23,tblData[Year],J$12)</f>
        <v>-0.000119</v>
      </c>
    </row>
    <row r="24" spans="2:14">
      <c r="B24" t="s">
        <v>47</v>
      </c>
      <c r="C24" s="14">
        <f>SUMIFS(tblData[Q4 HPI YoY change],tblData[State],$B24,tblData[Year],C$12)</f>
        <v>0.025632</v>
      </c>
      <c r="D24" s="14">
        <f>SUMIFS(tblData[Q4 HPI YoY change],tblData[State],$B24,tblData[Year],D$12)</f>
        <v>0.037944</v>
      </c>
      <c r="E24" s="14">
        <f>SUMIFS(tblData[Q4 HPI YoY change],tblData[State],$B24,tblData[Year],E$12)</f>
        <v>0.064385</v>
      </c>
      <c r="F24" s="14">
        <f>SUMIFS(tblData[Q4 HPI YoY change],tblData[State],$B24,tblData[Year],F$12)</f>
        <v>0.206107</v>
      </c>
      <c r="G24" s="14">
        <f>SUMIFS(tblData[Q4 HPI YoY change],tblData[State],$B24,tblData[Year],G$12)</f>
        <v>0.156991</v>
      </c>
      <c r="H24" s="14">
        <f>SUMIFS(tblData[Q4 HPI YoY change],tblData[State],$B24,tblData[Year],H$12)</f>
        <v>-0.035076</v>
      </c>
      <c r="I24" s="14">
        <f>SUMIFS(tblData[Q4 HPI YoY change],tblData[State],$B24,tblData[Year],I$12)</f>
        <v>0.030448</v>
      </c>
      <c r="J24" s="14">
        <f>SUMIFS(tblData[Q4 HPI YoY change],tblData[State],$B24,tblData[Year],J$12)</f>
        <v>0.004199</v>
      </c>
    </row>
    <row r="25" spans="2:14">
      <c r="B25" t="s">
        <v>49</v>
      </c>
      <c r="C25" s="14">
        <f>SUMIFS(tblData[Q4 HPI YoY change],tblData[State],$B25,tblData[Year],C$12)</f>
        <v>0.123137</v>
      </c>
      <c r="D25" s="14">
        <f>SUMIFS(tblData[Q4 HPI YoY change],tblData[State],$B25,tblData[Year],D$12)</f>
        <v>0.130599</v>
      </c>
      <c r="E25" s="14">
        <f>SUMIFS(tblData[Q4 HPI YoY change],tblData[State],$B25,tblData[Year],E$12)</f>
        <v>0.202348</v>
      </c>
      <c r="F25" s="14">
        <f>SUMIFS(tblData[Q4 HPI YoY change],tblData[State],$B25,tblData[Year],F$12)</f>
        <v>0.275594</v>
      </c>
      <c r="G25" s="14">
        <f>SUMIFS(tblData[Q4 HPI YoY change],tblData[State],$B25,tblData[Year],G$12)</f>
        <v>0.02263</v>
      </c>
      <c r="H25" s="14">
        <f>SUMIFS(tblData[Q4 HPI YoY change],tblData[State],$B25,tblData[Year],H$12)</f>
        <v>0.020462</v>
      </c>
      <c r="I25" s="14">
        <f>SUMIFS(tblData[Q4 HPI YoY change],tblData[State],$B25,tblData[Year],I$12)</f>
        <v>0.055138</v>
      </c>
      <c r="J25" s="14">
        <f>SUMIFS(tblData[Q4 HPI YoY change],tblData[State],$B25,tblData[Year],J$12)</f>
        <v>-0.008246</v>
      </c>
    </row>
    <row r="26" spans="2:14">
      <c r="B26" t="s">
        <v>51</v>
      </c>
      <c r="C26" s="14">
        <f>SUMIFS(tblData[Q4 HPI YoY change],tblData[State],$B26,tblData[Year],C$12)</f>
        <v>0.023629</v>
      </c>
      <c r="D26" s="14">
        <f>SUMIFS(tblData[Q4 HPI YoY change],tblData[State],$B26,tblData[Year],D$12)</f>
        <v>0.030881</v>
      </c>
      <c r="E26" s="14">
        <f>SUMIFS(tblData[Q4 HPI YoY change],tblData[State],$B26,tblData[Year],E$12)</f>
        <v>0.08171</v>
      </c>
      <c r="F26" s="14">
        <f>SUMIFS(tblData[Q4 HPI YoY change],tblData[State],$B26,tblData[Year],F$12)</f>
        <v>0.119865</v>
      </c>
      <c r="G26" s="14">
        <f>SUMIFS(tblData[Q4 HPI YoY change],tblData[State],$B26,tblData[Year],G$12)</f>
        <v>0.068677</v>
      </c>
      <c r="H26" s="14">
        <f>SUMIFS(tblData[Q4 HPI YoY change],tblData[State],$B26,tblData[Year],H$12)</f>
        <v>0.084654</v>
      </c>
      <c r="I26" s="14">
        <f>SUMIFS(tblData[Q4 HPI YoY change],tblData[State],$B26,tblData[Year],I$12)</f>
        <v>0.074245</v>
      </c>
      <c r="J26" s="14">
        <f>SUMIFS(tblData[Q4 HPI YoY change],tblData[State],$B26,tblData[Year],J$12)</f>
        <v>0.063674</v>
      </c>
      <c r="N26" s="5" t="s">
        <v>216</v>
      </c>
    </row>
    <row r="27" spans="2:14">
      <c r="B27" t="s">
        <v>55</v>
      </c>
      <c r="C27" s="14">
        <f>SUMIFS(tblData[Q4 HPI YoY change],tblData[State],$B27,tblData[Year],C$12)</f>
        <v>0.063266</v>
      </c>
      <c r="D27" s="14">
        <f>SUMIFS(tblData[Q4 HPI YoY change],tblData[State],$B27,tblData[Year],D$12)</f>
        <v>0.070688</v>
      </c>
      <c r="E27" s="14">
        <f>SUMIFS(tblData[Q4 HPI YoY change],tblData[State],$B27,tblData[Year],E$12)</f>
        <v>0.122945</v>
      </c>
      <c r="F27" s="14">
        <f>SUMIFS(tblData[Q4 HPI YoY change],tblData[State],$B27,tblData[Year],F$12)</f>
        <v>0.145498</v>
      </c>
      <c r="G27" s="14">
        <f>SUMIFS(tblData[Q4 HPI YoY change],tblData[State],$B27,tblData[Year],G$12)</f>
        <v>0.088506</v>
      </c>
      <c r="H27" s="14">
        <f>SUMIFS(tblData[Q4 HPI YoY change],tblData[State],$B27,tblData[Year],H$12)</f>
        <v>0.072336</v>
      </c>
      <c r="I27" s="14">
        <f>SUMIFS(tblData[Q4 HPI YoY change],tblData[State],$B27,tblData[Year],I$12)</f>
        <v>0.065087</v>
      </c>
      <c r="J27" s="14">
        <f>SUMIFS(tblData[Q4 HPI YoY change],tblData[State],$B27,tblData[Year],J$12)</f>
        <v>0.033455</v>
      </c>
    </row>
    <row r="28" spans="2:14">
      <c r="B28" t="s">
        <v>57</v>
      </c>
      <c r="C28" s="14">
        <f>SUMIFS(tblData[Q4 HPI YoY change],tblData[State],$B28,tblData[Year],C$12)</f>
        <v>0.042857</v>
      </c>
      <c r="D28" s="14">
        <f>SUMIFS(tblData[Q4 HPI YoY change],tblData[State],$B28,tblData[Year],D$12)</f>
        <v>0.030371</v>
      </c>
      <c r="E28" s="14">
        <f>SUMIFS(tblData[Q4 HPI YoY change],tblData[State],$B28,tblData[Year],E$12)</f>
        <v>0.081794</v>
      </c>
      <c r="F28" s="14">
        <f>SUMIFS(tblData[Q4 HPI YoY change],tblData[State],$B28,tblData[Year],F$12)</f>
        <v>0.110128</v>
      </c>
      <c r="G28" s="14">
        <f>SUMIFS(tblData[Q4 HPI YoY change],tblData[State],$B28,tblData[Year],G$12)</f>
        <v>0.084251</v>
      </c>
      <c r="H28" s="14">
        <f>SUMIFS(tblData[Q4 HPI YoY change],tblData[State],$B28,tblData[Year],H$12)</f>
        <v>0.058423</v>
      </c>
      <c r="I28" s="14">
        <f>SUMIFS(tblData[Q4 HPI YoY change],tblData[State],$B28,tblData[Year],I$12)</f>
        <v>0.050961</v>
      </c>
      <c r="J28" s="14">
        <f>SUMIFS(tblData[Q4 HPI YoY change],tblData[State],$B28,tblData[Year],J$12)</f>
        <v>0.037492</v>
      </c>
    </row>
    <row r="29" spans="2:14">
      <c r="B29" t="s">
        <v>60</v>
      </c>
      <c r="C29" s="14">
        <f>SUMIFS(tblData[Q4 HPI YoY change],tblData[State],$B29,tblData[Year],C$12)</f>
        <v>0.054257</v>
      </c>
      <c r="D29" s="14">
        <f>SUMIFS(tblData[Q4 HPI YoY change],tblData[State],$B29,tblData[Year],D$12)</f>
        <v>0.053045</v>
      </c>
      <c r="E29" s="14">
        <f>SUMIFS(tblData[Q4 HPI YoY change],tblData[State],$B29,tblData[Year],E$12)</f>
        <v>0.109123</v>
      </c>
      <c r="F29" s="14">
        <f>SUMIFS(tblData[Q4 HPI YoY change],tblData[State],$B29,tblData[Year],F$12)</f>
        <v>0.127275</v>
      </c>
      <c r="G29" s="14">
        <f>SUMIFS(tblData[Q4 HPI YoY change],tblData[State],$B29,tblData[Year],G$12)</f>
        <v>0.081622</v>
      </c>
      <c r="H29" s="14">
        <f>SUMIFS(tblData[Q4 HPI YoY change],tblData[State],$B29,tblData[Year],H$12)</f>
        <v>0.077653</v>
      </c>
      <c r="I29" s="14">
        <f>SUMIFS(tblData[Q4 HPI YoY change],tblData[State],$B29,tblData[Year],I$12)</f>
        <v>0.055738</v>
      </c>
      <c r="J29" s="14">
        <f>SUMIFS(tblData[Q4 HPI YoY change],tblData[State],$B29,tblData[Year],J$12)</f>
        <v>0.040752</v>
      </c>
    </row>
    <row r="30" spans="2:14">
      <c r="B30" t="s">
        <v>62</v>
      </c>
      <c r="C30" s="14">
        <f>SUMIFS(tblData[Q4 HPI YoY change],tblData[State],$B30,tblData[Year],C$12)</f>
        <v>0.049815</v>
      </c>
      <c r="D30" s="14">
        <f>SUMIFS(tblData[Q4 HPI YoY change],tblData[State],$B30,tblData[Year],D$12)</f>
        <v>0.042367</v>
      </c>
      <c r="E30" s="14">
        <f>SUMIFS(tblData[Q4 HPI YoY change],tblData[State],$B30,tblData[Year],E$12)</f>
        <v>0.111897</v>
      </c>
      <c r="F30" s="14">
        <f>SUMIFS(tblData[Q4 HPI YoY change],tblData[State],$B30,tblData[Year],F$12)</f>
        <v>0.140152</v>
      </c>
      <c r="G30" s="14">
        <f>SUMIFS(tblData[Q4 HPI YoY change],tblData[State],$B30,tblData[Year],G$12)</f>
        <v>0.093972</v>
      </c>
      <c r="H30" s="14">
        <f>SUMIFS(tblData[Q4 HPI YoY change],tblData[State],$B30,tblData[Year],H$12)</f>
        <v>0.058498</v>
      </c>
      <c r="I30" s="14">
        <f>SUMIFS(tblData[Q4 HPI YoY change],tblData[State],$B30,tblData[Year],I$12)</f>
        <v>0.065426</v>
      </c>
      <c r="J30" s="14">
        <f>SUMIFS(tblData[Q4 HPI YoY change],tblData[State],$B30,tblData[Year],J$12)</f>
        <v>0.028846</v>
      </c>
    </row>
    <row r="31" spans="2:14">
      <c r="B31" t="s">
        <v>64</v>
      </c>
      <c r="C31" s="14">
        <f>SUMIFS(tblData[Q4 HPI YoY change],tblData[State],$B31,tblData[Year],C$12)</f>
        <v>0.020333</v>
      </c>
      <c r="D31" s="14">
        <f>SUMIFS(tblData[Q4 HPI YoY change],tblData[State],$B31,tblData[Year],D$12)</f>
        <v>0.028804</v>
      </c>
      <c r="E31" s="14">
        <f>SUMIFS(tblData[Q4 HPI YoY change],tblData[State],$B31,tblData[Year],E$12)</f>
        <v>0.062828</v>
      </c>
      <c r="F31" s="14">
        <f>SUMIFS(tblData[Q4 HPI YoY change],tblData[State],$B31,tblData[Year],F$12)</f>
        <v>0.102555</v>
      </c>
      <c r="G31" s="14">
        <f>SUMIFS(tblData[Q4 HPI YoY change],tblData[State],$B31,tblData[Year],G$12)</f>
        <v>0.047635</v>
      </c>
      <c r="H31" s="14">
        <f>SUMIFS(tblData[Q4 HPI YoY change],tblData[State],$B31,tblData[Year],H$12)</f>
        <v>0.018015</v>
      </c>
      <c r="I31" s="14">
        <f>SUMIFS(tblData[Q4 HPI YoY change],tblData[State],$B31,tblData[Year],I$12)</f>
        <v>0.006143</v>
      </c>
      <c r="J31" s="14">
        <f>SUMIFS(tblData[Q4 HPI YoY change],tblData[State],$B31,tblData[Year],J$12)</f>
        <v>0.034617</v>
      </c>
    </row>
    <row r="32" spans="2:14">
      <c r="B32" t="s">
        <v>66</v>
      </c>
      <c r="C32" s="14">
        <f>SUMIFS(tblData[Q4 HPI YoY change],tblData[State],$B32,tblData[Year],C$12)</f>
        <v>0.069832</v>
      </c>
      <c r="D32" s="14">
        <f>SUMIFS(tblData[Q4 HPI YoY change],tblData[State],$B32,tblData[Year],D$12)</f>
        <v>0.065837</v>
      </c>
      <c r="E32" s="14">
        <f>SUMIFS(tblData[Q4 HPI YoY change],tblData[State],$B32,tblData[Year],E$12)</f>
        <v>0.140122</v>
      </c>
      <c r="F32" s="14">
        <f>SUMIFS(tblData[Q4 HPI YoY change],tblData[State],$B32,tblData[Year],F$12)</f>
        <v>0.201607</v>
      </c>
      <c r="G32" s="14">
        <f>SUMIFS(tblData[Q4 HPI YoY change],tblData[State],$B32,tblData[Year],G$12)</f>
        <v>0.125361</v>
      </c>
      <c r="H32" s="14">
        <f>SUMIFS(tblData[Q4 HPI YoY change],tblData[State],$B32,tblData[Year],H$12)</f>
        <v>0.062433</v>
      </c>
      <c r="I32" s="14">
        <f>SUMIFS(tblData[Q4 HPI YoY change],tblData[State],$B32,tblData[Year],I$12)</f>
        <v>0.074502</v>
      </c>
      <c r="J32" s="14">
        <f>SUMIFS(tblData[Q4 HPI YoY change],tblData[State],$B32,tblData[Year],J$12)</f>
        <v>0.039422</v>
      </c>
    </row>
    <row r="33" spans="2:14">
      <c r="B33" t="s">
        <v>68</v>
      </c>
      <c r="C33" s="14">
        <f>SUMIFS(tblData[Q4 HPI YoY change],tblData[State],$B33,tblData[Year],C$12)</f>
        <v>0.014273</v>
      </c>
      <c r="D33" s="14">
        <f>SUMIFS(tblData[Q4 HPI YoY change],tblData[State],$B33,tblData[Year],D$12)</f>
        <v>0.032246</v>
      </c>
      <c r="E33" s="14">
        <f>SUMIFS(tblData[Q4 HPI YoY change],tblData[State],$B33,tblData[Year],E$12)</f>
        <v>0.102182</v>
      </c>
      <c r="F33" s="14">
        <f>SUMIFS(tblData[Q4 HPI YoY change],tblData[State],$B33,tblData[Year],F$12)</f>
        <v>0.107998</v>
      </c>
      <c r="G33" s="14">
        <f>SUMIFS(tblData[Q4 HPI YoY change],tblData[State],$B33,tblData[Year],G$12)</f>
        <v>0.060533</v>
      </c>
      <c r="H33" s="14">
        <f>SUMIFS(tblData[Q4 HPI YoY change],tblData[State],$B33,tblData[Year],H$12)</f>
        <v>0.053917</v>
      </c>
      <c r="I33" s="14">
        <f>SUMIFS(tblData[Q4 HPI YoY change],tblData[State],$B33,tblData[Year],I$12)</f>
        <v>0.058991</v>
      </c>
      <c r="J33" s="14">
        <f>SUMIFS(tblData[Q4 HPI YoY change],tblData[State],$B33,tblData[Year],J$12)</f>
        <v>0.012015</v>
      </c>
    </row>
    <row r="34" spans="2:14">
      <c r="B34" t="s">
        <v>70</v>
      </c>
      <c r="C34" s="14">
        <f>SUMIFS(tblData[Q4 HPI YoY change],tblData[State],$B34,tblData[Year],C$12)</f>
        <v>0.051898</v>
      </c>
      <c r="D34" s="14">
        <f>SUMIFS(tblData[Q4 HPI YoY change],tblData[State],$B34,tblData[Year],D$12)</f>
        <v>0.053945</v>
      </c>
      <c r="E34" s="14">
        <f>SUMIFS(tblData[Q4 HPI YoY change],tblData[State],$B34,tblData[Year],E$12)</f>
        <v>0.111851</v>
      </c>
      <c r="F34" s="14">
        <f>SUMIFS(tblData[Q4 HPI YoY change],tblData[State],$B34,tblData[Year],F$12)</f>
        <v>0.145</v>
      </c>
      <c r="G34" s="14">
        <f>SUMIFS(tblData[Q4 HPI YoY change],tblData[State],$B34,tblData[Year],G$12)</f>
        <v>0.050164</v>
      </c>
      <c r="H34" s="14">
        <f>SUMIFS(tblData[Q4 HPI YoY change],tblData[State],$B34,tblData[Year],H$12)</f>
        <v>0.087184</v>
      </c>
      <c r="I34" s="14">
        <f>SUMIFS(tblData[Q4 HPI YoY change],tblData[State],$B34,tblData[Year],I$12)</f>
        <v>0.055343</v>
      </c>
      <c r="J34" s="14">
        <f>SUMIFS(tblData[Q4 HPI YoY change],tblData[State],$B34,tblData[Year],J$12)</f>
        <v>0.02473</v>
      </c>
    </row>
    <row r="35" spans="2:14">
      <c r="B35" t="s">
        <v>72</v>
      </c>
      <c r="C35" s="14">
        <f>SUMIFS(tblData[Q4 HPI YoY change],tblData[State],$B35,tblData[Year],C$12)</f>
        <v>0.068625</v>
      </c>
      <c r="D35" s="14">
        <f>SUMIFS(tblData[Q4 HPI YoY change],tblData[State],$B35,tblData[Year],D$12)</f>
        <v>0.056864</v>
      </c>
      <c r="E35" s="14">
        <f>SUMIFS(tblData[Q4 HPI YoY change],tblData[State],$B35,tblData[Year],E$12)</f>
        <v>0.111342</v>
      </c>
      <c r="F35" s="14">
        <f>SUMIFS(tblData[Q4 HPI YoY change],tblData[State],$B35,tblData[Year],F$12)</f>
        <v>0.148944</v>
      </c>
      <c r="G35" s="14">
        <f>SUMIFS(tblData[Q4 HPI YoY change],tblData[State],$B35,tblData[Year],G$12)</f>
        <v>0.062741</v>
      </c>
      <c r="H35" s="14">
        <f>SUMIFS(tblData[Q4 HPI YoY change],tblData[State],$B35,tblData[Year],H$12)</f>
        <v>0.088399</v>
      </c>
      <c r="I35" s="14">
        <f>SUMIFS(tblData[Q4 HPI YoY change],tblData[State],$B35,tblData[Year],I$12)</f>
        <v>0.050737</v>
      </c>
      <c r="J35" s="14">
        <f>SUMIFS(tblData[Q4 HPI YoY change],tblData[State],$B35,tblData[Year],J$12)</f>
        <v>0.05854</v>
      </c>
    </row>
    <row r="36" spans="2:14">
      <c r="B36" t="s">
        <v>74</v>
      </c>
      <c r="C36" s="14">
        <f>SUMIFS(tblData[Q4 HPI YoY change],tblData[State],$B36,tblData[Year],C$12)</f>
        <v>0.054614</v>
      </c>
      <c r="D36" s="14">
        <f>SUMIFS(tblData[Q4 HPI YoY change],tblData[State],$B36,tblData[Year],D$12)</f>
        <v>0.056821</v>
      </c>
      <c r="E36" s="14">
        <f>SUMIFS(tblData[Q4 HPI YoY change],tblData[State],$B36,tblData[Year],E$12)</f>
        <v>0.09584</v>
      </c>
      <c r="F36" s="14">
        <f>SUMIFS(tblData[Q4 HPI YoY change],tblData[State],$B36,tblData[Year],F$12)</f>
        <v>0.122799</v>
      </c>
      <c r="G36" s="14">
        <f>SUMIFS(tblData[Q4 HPI YoY change],tblData[State],$B36,tblData[Year],G$12)</f>
        <v>0.044687</v>
      </c>
      <c r="H36" s="14">
        <f>SUMIFS(tblData[Q4 HPI YoY change],tblData[State],$B36,tblData[Year],H$12)</f>
        <v>0.042144</v>
      </c>
      <c r="I36" s="14">
        <f>SUMIFS(tblData[Q4 HPI YoY change],tblData[State],$B36,tblData[Year],I$12)</f>
        <v>0.04599</v>
      </c>
      <c r="J36" s="14">
        <f>SUMIFS(tblData[Q4 HPI YoY change],tblData[State],$B36,tblData[Year],J$12)</f>
        <v>0.032849</v>
      </c>
    </row>
    <row r="37" spans="2:14">
      <c r="B37" t="s">
        <v>76</v>
      </c>
      <c r="C37" s="14">
        <f>SUMIFS(tblData[Q4 HPI YoY change],tblData[State],$B37,tblData[Year],C$12)</f>
        <v>0.05883</v>
      </c>
      <c r="D37" s="14">
        <f>SUMIFS(tblData[Q4 HPI YoY change],tblData[State],$B37,tblData[Year],D$12)</f>
        <v>0.031616</v>
      </c>
      <c r="E37" s="14">
        <f>SUMIFS(tblData[Q4 HPI YoY change],tblData[State],$B37,tblData[Year],E$12)</f>
        <v>0.07939</v>
      </c>
      <c r="F37" s="14">
        <f>SUMIFS(tblData[Q4 HPI YoY change],tblData[State],$B37,tblData[Year],F$12)</f>
        <v>0.154781</v>
      </c>
      <c r="G37" s="14">
        <f>SUMIFS(tblData[Q4 HPI YoY change],tblData[State],$B37,tblData[Year],G$12)</f>
        <v>0.074105</v>
      </c>
      <c r="H37" s="14">
        <f>SUMIFS(tblData[Q4 HPI YoY change],tblData[State],$B37,tblData[Year],H$12)</f>
        <v>0.10409</v>
      </c>
      <c r="I37" s="14">
        <f>SUMIFS(tblData[Q4 HPI YoY change],tblData[State],$B37,tblData[Year],I$12)</f>
        <v>-0.006794</v>
      </c>
      <c r="J37" s="14">
        <f>SUMIFS(tblData[Q4 HPI YoY change],tblData[State],$B37,tblData[Year],J$12)</f>
        <v>0.030845</v>
      </c>
    </row>
    <row r="38" spans="2:14">
      <c r="B38" t="s">
        <v>78</v>
      </c>
      <c r="C38" s="14">
        <f>SUMIFS(tblData[Q4 HPI YoY change],tblData[State],$B38,tblData[Year],C$12)</f>
        <v>0.06051</v>
      </c>
      <c r="D38" s="14">
        <f>SUMIFS(tblData[Q4 HPI YoY change],tblData[State],$B38,tblData[Year],D$12)</f>
        <v>0.060645</v>
      </c>
      <c r="E38" s="14">
        <f>SUMIFS(tblData[Q4 HPI YoY change],tblData[State],$B38,tblData[Year],E$12)</f>
        <v>0.104047</v>
      </c>
      <c r="F38" s="14">
        <f>SUMIFS(tblData[Q4 HPI YoY change],tblData[State],$B38,tblData[Year],F$12)</f>
        <v>0.151975</v>
      </c>
      <c r="G38" s="14">
        <f>SUMIFS(tblData[Q4 HPI YoY change],tblData[State],$B38,tblData[Year],G$12)</f>
        <v>0.082252</v>
      </c>
      <c r="H38" s="14">
        <f>SUMIFS(tblData[Q4 HPI YoY change],tblData[State],$B38,tblData[Year],H$12)</f>
        <v>0.070647</v>
      </c>
      <c r="I38" s="14">
        <f>SUMIFS(tblData[Q4 HPI YoY change],tblData[State],$B38,tblData[Year],I$12)</f>
        <v>0.053062</v>
      </c>
      <c r="J38" s="14">
        <f>SUMIFS(tblData[Q4 HPI YoY change],tblData[State],$B38,tblData[Year],J$12)</f>
        <v>0.046366</v>
      </c>
    </row>
    <row r="39" spans="2:14">
      <c r="B39" t="s">
        <v>80</v>
      </c>
      <c r="C39" s="14">
        <f>SUMIFS(tblData[Q4 HPI YoY change],tblData[State],$B39,tblData[Year],C$12)</f>
        <v>0.044876</v>
      </c>
      <c r="D39" s="14">
        <f>SUMIFS(tblData[Q4 HPI YoY change],tblData[State],$B39,tblData[Year],D$12)</f>
        <v>0.068148</v>
      </c>
      <c r="E39" s="14">
        <f>SUMIFS(tblData[Q4 HPI YoY change],tblData[State],$B39,tblData[Year],E$12)</f>
        <v>0.149749</v>
      </c>
      <c r="F39" s="14">
        <f>SUMIFS(tblData[Q4 HPI YoY change],tblData[State],$B39,tblData[Year],F$12)</f>
        <v>0.241079</v>
      </c>
      <c r="G39" s="14">
        <f>SUMIFS(tblData[Q4 HPI YoY change],tblData[State],$B39,tblData[Year],G$12)</f>
        <v>0.104035</v>
      </c>
      <c r="H39" s="14">
        <f>SUMIFS(tblData[Q4 HPI YoY change],tblData[State],$B39,tblData[Year],H$12)</f>
        <v>0.041185</v>
      </c>
      <c r="I39" s="14">
        <f>SUMIFS(tblData[Q4 HPI YoY change],tblData[State],$B39,tblData[Year],I$12)</f>
        <v>0.07769</v>
      </c>
      <c r="J39" s="14">
        <f>SUMIFS(tblData[Q4 HPI YoY change],tblData[State],$B39,tblData[Year],J$12)</f>
        <v>-0.012407</v>
      </c>
    </row>
    <row r="40" spans="2:14">
      <c r="B40" t="s">
        <v>82</v>
      </c>
      <c r="C40" s="14">
        <f>SUMIFS(tblData[Q4 HPI YoY change],tblData[State],$B40,tblData[Year],C$12)</f>
        <v>0.052944</v>
      </c>
      <c r="D40" s="14">
        <f>SUMIFS(tblData[Q4 HPI YoY change],tblData[State],$B40,tblData[Year],D$12)</f>
        <v>0.044073</v>
      </c>
      <c r="E40" s="14">
        <f>SUMIFS(tblData[Q4 HPI YoY change],tblData[State],$B40,tblData[Year],E$12)</f>
        <v>0.11313</v>
      </c>
      <c r="F40" s="14">
        <f>SUMIFS(tblData[Q4 HPI YoY change],tblData[State],$B40,tblData[Year],F$12)</f>
        <v>0.1446</v>
      </c>
      <c r="G40" s="14">
        <f>SUMIFS(tblData[Q4 HPI YoY change],tblData[State],$B40,tblData[Year],G$12)</f>
        <v>0.083521</v>
      </c>
      <c r="H40" s="14">
        <f>SUMIFS(tblData[Q4 HPI YoY change],tblData[State],$B40,tblData[Year],H$12)</f>
        <v>0.047329</v>
      </c>
      <c r="I40" s="14">
        <f>SUMIFS(tblData[Q4 HPI YoY change],tblData[State],$B40,tblData[Year],I$12)</f>
        <v>0.071771</v>
      </c>
      <c r="J40" s="14">
        <f>SUMIFS(tblData[Q4 HPI YoY change],tblData[State],$B40,tblData[Year],J$12)</f>
        <v>0.023143</v>
      </c>
    </row>
    <row r="41" spans="2:14">
      <c r="B41" t="s">
        <v>84</v>
      </c>
      <c r="C41" s="14">
        <f>SUMIFS(tblData[Q4 HPI YoY change],tblData[State],$B41,tblData[Year],C$12)</f>
        <v>0.100194</v>
      </c>
      <c r="D41" s="14">
        <f>SUMIFS(tblData[Q4 HPI YoY change],tblData[State],$B41,tblData[Year],D$12)</f>
        <v>0.044329</v>
      </c>
      <c r="E41" s="14">
        <f>SUMIFS(tblData[Q4 HPI YoY change],tblData[State],$B41,tblData[Year],E$12)</f>
        <v>0.106814</v>
      </c>
      <c r="F41" s="14">
        <f>SUMIFS(tblData[Q4 HPI YoY change],tblData[State],$B41,tblData[Year],F$12)</f>
        <v>0.231992</v>
      </c>
      <c r="G41" s="14">
        <f>SUMIFS(tblData[Q4 HPI YoY change],tblData[State],$B41,tblData[Year],G$12)</f>
        <v>0.029086</v>
      </c>
      <c r="H41" s="14">
        <f>SUMIFS(tblData[Q4 HPI YoY change],tblData[State],$B41,tblData[Year],H$12)</f>
        <v>0.035683</v>
      </c>
      <c r="I41" s="14">
        <f>SUMIFS(tblData[Q4 HPI YoY change],tblData[State],$B41,tblData[Year],I$12)</f>
        <v>0.061365</v>
      </c>
      <c r="J41" s="14">
        <f>SUMIFS(tblData[Q4 HPI YoY change],tblData[State],$B41,tblData[Year],J$12)</f>
        <v>0.007058</v>
      </c>
    </row>
    <row r="42" spans="2:14">
      <c r="B42" t="s">
        <v>86</v>
      </c>
      <c r="C42" s="14">
        <f>SUMIFS(tblData[Q4 HPI YoY change],tblData[State],$B42,tblData[Year],C$12)</f>
        <v>0.056091</v>
      </c>
      <c r="D42" s="14">
        <f>SUMIFS(tblData[Q4 HPI YoY change],tblData[State],$B42,tblData[Year],D$12)</f>
        <v>0.055404</v>
      </c>
      <c r="E42" s="14">
        <f>SUMIFS(tblData[Q4 HPI YoY change],tblData[State],$B42,tblData[Year],E$12)</f>
        <v>0.143124</v>
      </c>
      <c r="F42" s="14">
        <f>SUMIFS(tblData[Q4 HPI YoY change],tblData[State],$B42,tblData[Year],F$12)</f>
        <v>0.180258</v>
      </c>
      <c r="G42" s="14">
        <f>SUMIFS(tblData[Q4 HPI YoY change],tblData[State],$B42,tblData[Year],G$12)</f>
        <v>0.09315</v>
      </c>
      <c r="H42" s="14">
        <f>SUMIFS(tblData[Q4 HPI YoY change],tblData[State],$B42,tblData[Year],H$12)</f>
        <v>0.091799</v>
      </c>
      <c r="I42" s="14">
        <f>SUMIFS(tblData[Q4 HPI YoY change],tblData[State],$B42,tblData[Year],I$12)</f>
        <v>0.075209</v>
      </c>
      <c r="J42" s="14">
        <f>SUMIFS(tblData[Q4 HPI YoY change],tblData[State],$B42,tblData[Year],J$12)</f>
        <v>0.038506</v>
      </c>
      <c r="N42" s="5" t="s">
        <v>217</v>
      </c>
    </row>
    <row r="43" spans="2:14">
      <c r="B43" t="s">
        <v>88</v>
      </c>
      <c r="C43" s="14">
        <f>SUMIFS(tblData[Q4 HPI YoY change],tblData[State],$B43,tblData[Year],C$12)</f>
        <v>0.035622</v>
      </c>
      <c r="D43" s="14">
        <f>SUMIFS(tblData[Q4 HPI YoY change],tblData[State],$B43,tblData[Year],D$12)</f>
        <v>0.046998</v>
      </c>
      <c r="E43" s="14">
        <f>SUMIFS(tblData[Q4 HPI YoY change],tblData[State],$B43,tblData[Year],E$12)</f>
        <v>0.120857</v>
      </c>
      <c r="F43" s="14">
        <f>SUMIFS(tblData[Q4 HPI YoY change],tblData[State],$B43,tblData[Year],F$12)</f>
        <v>0.150044</v>
      </c>
      <c r="G43" s="14">
        <f>SUMIFS(tblData[Q4 HPI YoY change],tblData[State],$B43,tblData[Year],G$12)</f>
        <v>0.080391</v>
      </c>
      <c r="H43" s="14">
        <f>SUMIFS(tblData[Q4 HPI YoY change],tblData[State],$B43,tblData[Year],H$12)</f>
        <v>0.112325</v>
      </c>
      <c r="I43" s="14">
        <f>SUMIFS(tblData[Q4 HPI YoY change],tblData[State],$B43,tblData[Year],I$12)</f>
        <v>0.087198</v>
      </c>
      <c r="J43" s="14">
        <f>SUMIFS(tblData[Q4 HPI YoY change],tblData[State],$B43,tblData[Year],J$12)</f>
        <v>0.049905</v>
      </c>
    </row>
    <row r="44" spans="2:14">
      <c r="B44" t="s">
        <v>91</v>
      </c>
      <c r="C44" s="14">
        <f>SUMIFS(tblData[Q4 HPI YoY change],tblData[State],$B44,tblData[Year],C$12)</f>
        <v>0.040888</v>
      </c>
      <c r="D44" s="14">
        <f>SUMIFS(tblData[Q4 HPI YoY change],tblData[State],$B44,tblData[Year],D$12)</f>
        <v>0.054617</v>
      </c>
      <c r="E44" s="14">
        <f>SUMIFS(tblData[Q4 HPI YoY change],tblData[State],$B44,tblData[Year],E$12)</f>
        <v>0.115241</v>
      </c>
      <c r="F44" s="14">
        <f>SUMIFS(tblData[Q4 HPI YoY change],tblData[State],$B44,tblData[Year],F$12)</f>
        <v>0.149212</v>
      </c>
      <c r="G44" s="14">
        <f>SUMIFS(tblData[Q4 HPI YoY change],tblData[State],$B44,tblData[Year],G$12)</f>
        <v>0.096742</v>
      </c>
      <c r="H44" s="14">
        <f>SUMIFS(tblData[Q4 HPI YoY change],tblData[State],$B44,tblData[Year],H$12)</f>
        <v>0.051891</v>
      </c>
      <c r="I44" s="14">
        <f>SUMIFS(tblData[Q4 HPI YoY change],tblData[State],$B44,tblData[Year],I$12)</f>
        <v>0.059218</v>
      </c>
      <c r="J44" s="14">
        <f>SUMIFS(tblData[Q4 HPI YoY change],tblData[State],$B44,tblData[Year],J$12)</f>
        <v>0.005933</v>
      </c>
    </row>
    <row r="45" spans="2:14">
      <c r="B45" t="s">
        <v>93</v>
      </c>
      <c r="C45" s="14">
        <f>SUMIFS(tblData[Q4 HPI YoY change],tblData[State],$B45,tblData[Year],C$12)</f>
        <v>0.045687</v>
      </c>
      <c r="D45" s="14">
        <f>SUMIFS(tblData[Q4 HPI YoY change],tblData[State],$B45,tblData[Year],D$12)</f>
        <v>0.048531</v>
      </c>
      <c r="E45" s="14">
        <f>SUMIFS(tblData[Q4 HPI YoY change],tblData[State],$B45,tblData[Year],E$12)</f>
        <v>0.107852</v>
      </c>
      <c r="F45" s="14">
        <f>SUMIFS(tblData[Q4 HPI YoY change],tblData[State],$B45,tblData[Year],F$12)</f>
        <v>0.133384</v>
      </c>
      <c r="G45" s="14">
        <f>SUMIFS(tblData[Q4 HPI YoY change],tblData[State],$B45,tblData[Year],G$12)</f>
        <v>0.075436</v>
      </c>
      <c r="H45" s="14">
        <f>SUMIFS(tblData[Q4 HPI YoY change],tblData[State],$B45,tblData[Year],H$12)</f>
        <v>0.092514</v>
      </c>
      <c r="I45" s="14">
        <f>SUMIFS(tblData[Q4 HPI YoY change],tblData[State],$B45,tblData[Year],I$12)</f>
        <v>0.074105</v>
      </c>
      <c r="J45" s="14">
        <f>SUMIFS(tblData[Q4 HPI YoY change],tblData[State],$B45,tblData[Year],J$12)</f>
        <v>0.055681</v>
      </c>
    </row>
    <row r="46" spans="2:14">
      <c r="B46" t="s">
        <v>95</v>
      </c>
      <c r="C46" s="14">
        <f>SUMIFS(tblData[Q4 HPI YoY change],tblData[State],$B46,tblData[Year],C$12)</f>
        <v>0.063604</v>
      </c>
      <c r="D46" s="14">
        <f>SUMIFS(tblData[Q4 HPI YoY change],tblData[State],$B46,tblData[Year],D$12)</f>
        <v>0.066754</v>
      </c>
      <c r="E46" s="14">
        <f>SUMIFS(tblData[Q4 HPI YoY change],tblData[State],$B46,tblData[Year],E$12)</f>
        <v>0.119899</v>
      </c>
      <c r="F46" s="14">
        <f>SUMIFS(tblData[Q4 HPI YoY change],tblData[State],$B46,tblData[Year],F$12)</f>
        <v>0.210103</v>
      </c>
      <c r="G46" s="14">
        <f>SUMIFS(tblData[Q4 HPI YoY change],tblData[State],$B46,tblData[Year],G$12)</f>
        <v>0.127769</v>
      </c>
      <c r="H46" s="14">
        <f>SUMIFS(tblData[Q4 HPI YoY change],tblData[State],$B46,tblData[Year],H$12)</f>
        <v>0.059891</v>
      </c>
      <c r="I46" s="14">
        <f>SUMIFS(tblData[Q4 HPI YoY change],tblData[State],$B46,tblData[Year],I$12)</f>
        <v>0.053946</v>
      </c>
      <c r="J46" s="14">
        <f>SUMIFS(tblData[Q4 HPI YoY change],tblData[State],$B46,tblData[Year],J$12)</f>
        <v>0.010829</v>
      </c>
    </row>
    <row r="47" spans="2:14">
      <c r="B47" t="s">
        <v>97</v>
      </c>
      <c r="C47" s="14">
        <f>SUMIFS(tblData[Q4 HPI YoY change],tblData[State],$B47,tblData[Year],C$12)</f>
        <v>0.023532</v>
      </c>
      <c r="D47" s="14">
        <f>SUMIFS(tblData[Q4 HPI YoY change],tblData[State],$B47,tblData[Year],D$12)</f>
        <v>0.020141</v>
      </c>
      <c r="E47" s="14">
        <f>SUMIFS(tblData[Q4 HPI YoY change],tblData[State],$B47,tblData[Year],E$12)</f>
        <v>0.069102</v>
      </c>
      <c r="F47" s="14">
        <f>SUMIFS(tblData[Q4 HPI YoY change],tblData[State],$B47,tblData[Year],F$12)</f>
        <v>0.102224</v>
      </c>
      <c r="G47" s="14">
        <f>SUMIFS(tblData[Q4 HPI YoY change],tblData[State],$B47,tblData[Year],G$12)</f>
        <v>0.060258</v>
      </c>
      <c r="H47" s="14">
        <f>SUMIFS(tblData[Q4 HPI YoY change],tblData[State],$B47,tblData[Year],H$12)</f>
        <v>0.05259</v>
      </c>
      <c r="I47" s="14">
        <f>SUMIFS(tblData[Q4 HPI YoY change],tblData[State],$B47,tblData[Year],I$12)</f>
        <v>0.029519</v>
      </c>
      <c r="J47" s="14">
        <f>SUMIFS(tblData[Q4 HPI YoY change],tblData[State],$B47,tblData[Year],J$12)</f>
        <v>0.062597</v>
      </c>
    </row>
    <row r="48" spans="2:14">
      <c r="B48" t="s">
        <v>99</v>
      </c>
      <c r="C48" s="14">
        <f>SUMIFS(tblData[Q4 HPI YoY change],tblData[State],$B48,tblData[Year],C$12)</f>
        <v>0.058789</v>
      </c>
      <c r="D48" s="14">
        <f>SUMIFS(tblData[Q4 HPI YoY change],tblData[State],$B48,tblData[Year],D$12)</f>
        <v>0.064644</v>
      </c>
      <c r="E48" s="14">
        <f>SUMIFS(tblData[Q4 HPI YoY change],tblData[State],$B48,tblData[Year],E$12)</f>
        <v>0.122246</v>
      </c>
      <c r="F48" s="14">
        <f>SUMIFS(tblData[Q4 HPI YoY change],tblData[State],$B48,tblData[Year],F$12)</f>
        <v>0.134625</v>
      </c>
      <c r="G48" s="14">
        <f>SUMIFS(tblData[Q4 HPI YoY change],tblData[State],$B48,tblData[Year],G$12)</f>
        <v>0.082925</v>
      </c>
      <c r="H48" s="14">
        <f>SUMIFS(tblData[Q4 HPI YoY change],tblData[State],$B48,tblData[Year],H$12)</f>
        <v>0.086376</v>
      </c>
      <c r="I48" s="14">
        <f>SUMIFS(tblData[Q4 HPI YoY change],tblData[State],$B48,tblData[Year],I$12)</f>
        <v>0.067469</v>
      </c>
      <c r="J48" s="14">
        <f>SUMIFS(tblData[Q4 HPI YoY change],tblData[State],$B48,tblData[Year],J$12)</f>
        <v>0.046511</v>
      </c>
    </row>
    <row r="49" spans="2:14">
      <c r="B49" t="s">
        <v>101</v>
      </c>
      <c r="C49" s="14">
        <f>SUMIFS(tblData[Q4 HPI YoY change],tblData[State],$B49,tblData[Year],C$12)</f>
        <v>0.037235</v>
      </c>
      <c r="D49" s="14">
        <f>SUMIFS(tblData[Q4 HPI YoY change],tblData[State],$B49,tblData[Year],D$12)</f>
        <v>0.042605</v>
      </c>
      <c r="E49" s="14">
        <f>SUMIFS(tblData[Q4 HPI YoY change],tblData[State],$B49,tblData[Year],E$12)</f>
        <v>0.093826</v>
      </c>
      <c r="F49" s="14">
        <f>SUMIFS(tblData[Q4 HPI YoY change],tblData[State],$B49,tblData[Year],F$12)</f>
        <v>0.160829</v>
      </c>
      <c r="G49" s="14">
        <f>SUMIFS(tblData[Q4 HPI YoY change],tblData[State],$B49,tblData[Year],G$12)</f>
        <v>0.096581</v>
      </c>
      <c r="H49" s="14">
        <f>SUMIFS(tblData[Q4 HPI YoY change],tblData[State],$B49,tblData[Year],H$12)</f>
        <v>0.042773</v>
      </c>
      <c r="I49" s="14">
        <f>SUMIFS(tblData[Q4 HPI YoY change],tblData[State],$B49,tblData[Year],I$12)</f>
        <v>0.04244</v>
      </c>
      <c r="J49" s="14">
        <f>SUMIFS(tblData[Q4 HPI YoY change],tblData[State],$B49,tblData[Year],J$12)</f>
        <v>0.033922</v>
      </c>
    </row>
    <row r="50" spans="2:14">
      <c r="B50" t="s">
        <v>103</v>
      </c>
      <c r="C50" s="14">
        <f>SUMIFS(tblData[Q4 HPI YoY change],tblData[State],$B50,tblData[Year],C$12)</f>
        <v>0.05927</v>
      </c>
      <c r="D50" s="14">
        <f>SUMIFS(tblData[Q4 HPI YoY change],tblData[State],$B50,tblData[Year],D$12)</f>
        <v>0.055978</v>
      </c>
      <c r="E50" s="14">
        <f>SUMIFS(tblData[Q4 HPI YoY change],tblData[State],$B50,tblData[Year],E$12)</f>
        <v>0.116854</v>
      </c>
      <c r="F50" s="14">
        <f>SUMIFS(tblData[Q4 HPI YoY change],tblData[State],$B50,tblData[Year],F$12)</f>
        <v>0.17237</v>
      </c>
      <c r="G50" s="14">
        <f>SUMIFS(tblData[Q4 HPI YoY change],tblData[State],$B50,tblData[Year],G$12)</f>
        <v>0.033393</v>
      </c>
      <c r="H50" s="14">
        <f>SUMIFS(tblData[Q4 HPI YoY change],tblData[State],$B50,tblData[Year],H$12)</f>
        <v>0.009689</v>
      </c>
      <c r="I50" s="14">
        <f>SUMIFS(tblData[Q4 HPI YoY change],tblData[State],$B50,tblData[Year],I$12)</f>
        <v>0.031188</v>
      </c>
      <c r="J50" s="14">
        <f>SUMIFS(tblData[Q4 HPI YoY change],tblData[State],$B50,tblData[Year],J$12)</f>
        <v>0.004637</v>
      </c>
    </row>
    <row r="51" spans="2:14">
      <c r="B51" t="s">
        <v>105</v>
      </c>
      <c r="C51" s="14">
        <f>SUMIFS(tblData[Q4 HPI YoY change],tblData[State],$B51,tblData[Year],C$12)</f>
        <v>0.045614</v>
      </c>
      <c r="D51" s="14">
        <f>SUMIFS(tblData[Q4 HPI YoY change],tblData[State],$B51,tblData[Year],D$12)</f>
        <v>0.050269</v>
      </c>
      <c r="E51" s="14">
        <f>SUMIFS(tblData[Q4 HPI YoY change],tblData[State],$B51,tblData[Year],E$12)</f>
        <v>0.109155</v>
      </c>
      <c r="F51" s="14">
        <f>SUMIFS(tblData[Q4 HPI YoY change],tblData[State],$B51,tblData[Year],F$12)</f>
        <v>0.131398</v>
      </c>
      <c r="G51" s="14">
        <f>SUMIFS(tblData[Q4 HPI YoY change],tblData[State],$B51,tblData[Year],G$12)</f>
        <v>0.072406</v>
      </c>
      <c r="H51" s="14">
        <f>SUMIFS(tblData[Q4 HPI YoY change],tblData[State],$B51,tblData[Year],H$12)</f>
        <v>0.069564</v>
      </c>
      <c r="I51" s="14">
        <f>SUMIFS(tblData[Q4 HPI YoY change],tblData[State],$B51,tblData[Year],I$12)</f>
        <v>0.06196</v>
      </c>
      <c r="J51" s="14">
        <f>SUMIFS(tblData[Q4 HPI YoY change],tblData[State],$B51,tblData[Year],J$12)</f>
        <v>0.041619</v>
      </c>
    </row>
    <row r="52" spans="2:14">
      <c r="B52" t="s">
        <v>107</v>
      </c>
      <c r="C52" s="14">
        <f>SUMIFS(tblData[Q4 HPI YoY change],tblData[State],$B52,tblData[Year],C$12)</f>
        <v>0.056786</v>
      </c>
      <c r="D52" s="14">
        <f>SUMIFS(tblData[Q4 HPI YoY change],tblData[State],$B52,tblData[Year],D$12)</f>
        <v>0.063405</v>
      </c>
      <c r="E52" s="14">
        <f>SUMIFS(tblData[Q4 HPI YoY change],tblData[State],$B52,tblData[Year],E$12)</f>
        <v>0.136532</v>
      </c>
      <c r="F52" s="14">
        <f>SUMIFS(tblData[Q4 HPI YoY change],tblData[State],$B52,tblData[Year],F$12)</f>
        <v>0.157133</v>
      </c>
      <c r="G52" s="14">
        <f>SUMIFS(tblData[Q4 HPI YoY change],tblData[State],$B52,tblData[Year],G$12)</f>
        <v>0.054224</v>
      </c>
      <c r="H52" s="14">
        <f>SUMIFS(tblData[Q4 HPI YoY change],tblData[State],$B52,tblData[Year],H$12)</f>
        <v>0.136675</v>
      </c>
      <c r="I52" s="14">
        <f>SUMIFS(tblData[Q4 HPI YoY change],tblData[State],$B52,tblData[Year],I$12)</f>
        <v>0.068333</v>
      </c>
      <c r="J52" s="14">
        <f>SUMIFS(tblData[Q4 HPI YoY change],tblData[State],$B52,tblData[Year],J$12)</f>
        <v>0.047195</v>
      </c>
    </row>
    <row r="53" spans="2:14">
      <c r="B53" t="s">
        <v>109</v>
      </c>
      <c r="C53" s="14">
        <f>SUMIFS(tblData[Q4 HPI YoY change],tblData[State],$B53,tblData[Year],C$12)</f>
        <v>0.065364</v>
      </c>
      <c r="D53" s="14">
        <f>SUMIFS(tblData[Q4 HPI YoY change],tblData[State],$B53,tblData[Year],D$12)</f>
        <v>0.057519</v>
      </c>
      <c r="E53" s="14">
        <f>SUMIFS(tblData[Q4 HPI YoY change],tblData[State],$B53,tblData[Year],E$12)</f>
        <v>0.104525</v>
      </c>
      <c r="F53" s="14">
        <f>SUMIFS(tblData[Q4 HPI YoY change],tblData[State],$B53,tblData[Year],F$12)</f>
        <v>0.210106</v>
      </c>
      <c r="G53" s="14">
        <f>SUMIFS(tblData[Q4 HPI YoY change],tblData[State],$B53,tblData[Year],G$12)</f>
        <v>0.119781</v>
      </c>
      <c r="H53" s="14">
        <f>SUMIFS(tblData[Q4 HPI YoY change],tblData[State],$B53,tblData[Year],H$12)</f>
        <v>0.086849</v>
      </c>
      <c r="I53" s="14">
        <f>SUMIFS(tblData[Q4 HPI YoY change],tblData[State],$B53,tblData[Year],I$12)</f>
        <v>0.05299</v>
      </c>
      <c r="J53" s="14">
        <f>SUMIFS(tblData[Q4 HPI YoY change],tblData[State],$B53,tblData[Year],J$12)</f>
        <v>0.020272</v>
      </c>
    </row>
    <row r="54" spans="2:14">
      <c r="B54" t="s">
        <v>111</v>
      </c>
      <c r="C54" s="14">
        <f>SUMIFS(tblData[Q4 HPI YoY change],tblData[State],$B54,tblData[Year],C$12)</f>
        <v>0.063862</v>
      </c>
      <c r="D54" s="14">
        <f>SUMIFS(tblData[Q4 HPI YoY change],tblData[State],$B54,tblData[Year],D$12)</f>
        <v>0.038368</v>
      </c>
      <c r="E54" s="14">
        <f>SUMIFS(tblData[Q4 HPI YoY change],tblData[State],$B54,tblData[Year],E$12)</f>
        <v>0.098978</v>
      </c>
      <c r="F54" s="14">
        <f>SUMIFS(tblData[Q4 HPI YoY change],tblData[State],$B54,tblData[Year],F$12)</f>
        <v>0.179035</v>
      </c>
      <c r="G54" s="14">
        <f>SUMIFS(tblData[Q4 HPI YoY change],tblData[State],$B54,tblData[Year],G$12)</f>
        <v>0.091635</v>
      </c>
      <c r="H54" s="14">
        <f>SUMIFS(tblData[Q4 HPI YoY change],tblData[State],$B54,tblData[Year],H$12)</f>
        <v>0.064723</v>
      </c>
      <c r="I54" s="14">
        <f>SUMIFS(tblData[Q4 HPI YoY change],tblData[State],$B54,tblData[Year],I$12)</f>
        <v>0.03718</v>
      </c>
      <c r="J54" s="14">
        <f>SUMIFS(tblData[Q4 HPI YoY change],tblData[State],$B54,tblData[Year],J$12)</f>
        <v>0.021641</v>
      </c>
    </row>
    <row r="55" spans="2:14">
      <c r="B55" t="s">
        <v>113</v>
      </c>
      <c r="C55" s="14">
        <f>SUMIFS(tblData[Q4 HPI YoY change],tblData[State],$B55,tblData[Year],C$12)</f>
        <v>0.068554</v>
      </c>
      <c r="D55" s="14">
        <f>SUMIFS(tblData[Q4 HPI YoY change],tblData[State],$B55,tblData[Year],D$12)</f>
        <v>0.067262</v>
      </c>
      <c r="E55" s="14">
        <f>SUMIFS(tblData[Q4 HPI YoY change],tblData[State],$B55,tblData[Year],E$12)</f>
        <v>0.123747</v>
      </c>
      <c r="F55" s="14">
        <f>SUMIFS(tblData[Q4 HPI YoY change],tblData[State],$B55,tblData[Year],F$12)</f>
        <v>0.23223</v>
      </c>
      <c r="G55" s="14">
        <f>SUMIFS(tblData[Q4 HPI YoY change],tblData[State],$B55,tblData[Year],G$12)</f>
        <v>0.102756</v>
      </c>
      <c r="H55" s="14">
        <f>SUMIFS(tblData[Q4 HPI YoY change],tblData[State],$B55,tblData[Year],H$12)</f>
        <v>0.062874</v>
      </c>
      <c r="I55" s="14">
        <f>SUMIFS(tblData[Q4 HPI YoY change],tblData[State],$B55,tblData[Year],I$12)</f>
        <v>0.045074</v>
      </c>
      <c r="J55" s="14">
        <f>SUMIFS(tblData[Q4 HPI YoY change],tblData[State],$B55,tblData[Year],J$12)</f>
        <v>0.004512</v>
      </c>
    </row>
    <row r="56" spans="2:14">
      <c r="B56" t="s">
        <v>115</v>
      </c>
      <c r="C56" s="14">
        <f>SUMIFS(tblData[Q4 HPI YoY change],tblData[State],$B56,tblData[Year],C$12)</f>
        <v>0.051168</v>
      </c>
      <c r="D56" s="14">
        <f>SUMIFS(tblData[Q4 HPI YoY change],tblData[State],$B56,tblData[Year],D$12)</f>
        <v>0.047726</v>
      </c>
      <c r="E56" s="14">
        <f>SUMIFS(tblData[Q4 HPI YoY change],tblData[State],$B56,tblData[Year],E$12)</f>
        <v>0.090668</v>
      </c>
      <c r="F56" s="14">
        <f>SUMIFS(tblData[Q4 HPI YoY change],tblData[State],$B56,tblData[Year],F$12)</f>
        <v>0.193354</v>
      </c>
      <c r="G56" s="14">
        <f>SUMIFS(tblData[Q4 HPI YoY change],tblData[State],$B56,tblData[Year],G$12)</f>
        <v>0.090118</v>
      </c>
      <c r="H56" s="14">
        <f>SUMIFS(tblData[Q4 HPI YoY change],tblData[State],$B56,tblData[Year],H$12)</f>
        <v>0.024452</v>
      </c>
      <c r="I56" s="14">
        <f>SUMIFS(tblData[Q4 HPI YoY change],tblData[State],$B56,tblData[Year],I$12)</f>
        <v>0.022897</v>
      </c>
      <c r="J56" s="14">
        <f>SUMIFS(tblData[Q4 HPI YoY change],tblData[State],$B56,tblData[Year],J$12)</f>
        <v>-0.005178</v>
      </c>
    </row>
    <row r="57" spans="2:14">
      <c r="B57" t="s">
        <v>117</v>
      </c>
      <c r="C57" s="14">
        <f>SUMIFS(tblData[Q4 HPI YoY change],tblData[State],$B57,tblData[Year],C$12)</f>
        <v>0.094203</v>
      </c>
      <c r="D57" s="14">
        <f>SUMIFS(tblData[Q4 HPI YoY change],tblData[State],$B57,tblData[Year],D$12)</f>
        <v>0.079274</v>
      </c>
      <c r="E57" s="14">
        <f>SUMIFS(tblData[Q4 HPI YoY change],tblData[State],$B57,tblData[Year],E$12)</f>
        <v>0.15497</v>
      </c>
      <c r="F57" s="14">
        <f>SUMIFS(tblData[Q4 HPI YoY change],tblData[State],$B57,tblData[Year],F$12)</f>
        <v>0.269298</v>
      </c>
      <c r="G57" s="14">
        <f>SUMIFS(tblData[Q4 HPI YoY change],tblData[State],$B57,tblData[Year],G$12)</f>
        <v>0.031624</v>
      </c>
      <c r="H57" s="14">
        <f>SUMIFS(tblData[Q4 HPI YoY change],tblData[State],$B57,tblData[Year],H$12)</f>
        <v>0.020512</v>
      </c>
      <c r="I57" s="14">
        <f>SUMIFS(tblData[Q4 HPI YoY change],tblData[State],$B57,tblData[Year],I$12)</f>
        <v>0.046472</v>
      </c>
      <c r="J57" s="14">
        <f>SUMIFS(tblData[Q4 HPI YoY change],tblData[State],$B57,tblData[Year],J$12)</f>
        <v>0.007795</v>
      </c>
    </row>
    <row r="58" spans="2:14">
      <c r="B58" t="s">
        <v>119</v>
      </c>
      <c r="C58" s="14">
        <f>SUMIFS(tblData[Q4 HPI YoY change],tblData[State],$B58,tblData[Year],C$12)</f>
        <v>0.027406</v>
      </c>
      <c r="D58" s="14">
        <f>SUMIFS(tblData[Q4 HPI YoY change],tblData[State],$B58,tblData[Year],D$12)</f>
        <v>0.043018</v>
      </c>
      <c r="E58" s="14">
        <f>SUMIFS(tblData[Q4 HPI YoY change],tblData[State],$B58,tblData[Year],E$12)</f>
        <v>0.124187</v>
      </c>
      <c r="F58" s="14">
        <f>SUMIFS(tblData[Q4 HPI YoY change],tblData[State],$B58,tblData[Year],F$12)</f>
        <v>0.182958</v>
      </c>
      <c r="G58" s="14">
        <f>SUMIFS(tblData[Q4 HPI YoY change],tblData[State],$B58,tblData[Year],G$12)</f>
        <v>0.095565</v>
      </c>
      <c r="H58" s="14">
        <f>SUMIFS(tblData[Q4 HPI YoY change],tblData[State],$B58,tblData[Year],H$12)</f>
        <v>0.107713</v>
      </c>
      <c r="I58" s="14">
        <f>SUMIFS(tblData[Q4 HPI YoY change],tblData[State],$B58,tblData[Year],I$12)</f>
        <v>0.069192</v>
      </c>
      <c r="J58" s="14">
        <f>SUMIFS(tblData[Q4 HPI YoY change],tblData[State],$B58,tblData[Year],J$12)</f>
        <v>0.039251</v>
      </c>
      <c r="N58" s="5" t="s">
        <v>218</v>
      </c>
    </row>
    <row r="59" spans="2:14">
      <c r="B59" t="s">
        <v>121</v>
      </c>
      <c r="C59" s="14">
        <f>SUMIFS(tblData[Q4 HPI YoY change],tblData[State],$B59,tblData[Year],C$12)</f>
        <v>0.044427</v>
      </c>
      <c r="D59" s="14">
        <f>SUMIFS(tblData[Q4 HPI YoY change],tblData[State],$B59,tblData[Year],D$12)</f>
        <v>0.053181</v>
      </c>
      <c r="E59" s="14">
        <f>SUMIFS(tblData[Q4 HPI YoY change],tblData[State],$B59,tblData[Year],E$12)</f>
        <v>0.105291</v>
      </c>
      <c r="F59" s="14">
        <f>SUMIFS(tblData[Q4 HPI YoY change],tblData[State],$B59,tblData[Year],F$12)</f>
        <v>0.13443</v>
      </c>
      <c r="G59" s="14">
        <f>SUMIFS(tblData[Q4 HPI YoY change],tblData[State],$B59,tblData[Year],G$12)</f>
        <v>0.082709</v>
      </c>
      <c r="H59" s="14">
        <f>SUMIFS(tblData[Q4 HPI YoY change],tblData[State],$B59,tblData[Year],H$12)</f>
        <v>0.071558</v>
      </c>
      <c r="I59" s="14">
        <f>SUMIFS(tblData[Q4 HPI YoY change],tblData[State],$B59,tblData[Year],I$12)</f>
        <v>0.058691</v>
      </c>
      <c r="J59" s="14">
        <f>SUMIFS(tblData[Q4 HPI YoY change],tblData[State],$B59,tblData[Year],J$12)</f>
        <v>0.037856</v>
      </c>
    </row>
    <row r="60" spans="2:14">
      <c r="B60" t="s">
        <v>123</v>
      </c>
      <c r="C60" s="14">
        <f>SUMIFS(tblData[Q4 HPI YoY change],tblData[State],$B60,tblData[Year],C$12)</f>
        <v>0.076895</v>
      </c>
      <c r="D60" s="14">
        <f>SUMIFS(tblData[Q4 HPI YoY change],tblData[State],$B60,tblData[Year],D$12)</f>
        <v>0.078008</v>
      </c>
      <c r="E60" s="14">
        <f>SUMIFS(tblData[Q4 HPI YoY change],tblData[State],$B60,tblData[Year],E$12)</f>
        <v>0.140243</v>
      </c>
      <c r="F60" s="14">
        <f>SUMIFS(tblData[Q4 HPI YoY change],tblData[State],$B60,tblData[Year],F$12)</f>
        <v>0.192995</v>
      </c>
      <c r="G60" s="14">
        <f>SUMIFS(tblData[Q4 HPI YoY change],tblData[State],$B60,tblData[Year],G$12)</f>
        <v>0.030872</v>
      </c>
      <c r="H60" s="14">
        <f>SUMIFS(tblData[Q4 HPI YoY change],tblData[State],$B60,tblData[Year],H$12)</f>
        <v>0.03426</v>
      </c>
      <c r="I60" s="14">
        <f>SUMIFS(tblData[Q4 HPI YoY change],tblData[State],$B60,tblData[Year],I$12)</f>
        <v>0.030393</v>
      </c>
      <c r="J60" s="14">
        <f>SUMIFS(tblData[Q4 HPI YoY change],tblData[State],$B60,tblData[Year],J$12)</f>
        <v>0.022083</v>
      </c>
    </row>
    <row r="61" spans="2:14">
      <c r="B61" t="s">
        <v>125</v>
      </c>
      <c r="C61" s="14">
        <f>SUMIFS(tblData[Q4 HPI YoY change],tblData[State],$B61,tblData[Year],C$12)</f>
        <v>0.001071</v>
      </c>
      <c r="D61" s="14">
        <f>SUMIFS(tblData[Q4 HPI YoY change],tblData[State],$B61,tblData[Year],D$12)</f>
        <v>0.073867</v>
      </c>
      <c r="E61" s="14">
        <f>SUMIFS(tblData[Q4 HPI YoY change],tblData[State],$B61,tblData[Year],E$12)</f>
        <v>0.057556</v>
      </c>
      <c r="F61" s="14">
        <f>SUMIFS(tblData[Q4 HPI YoY change],tblData[State],$B61,tblData[Year],F$12)</f>
        <v>0.123191</v>
      </c>
      <c r="G61" s="14">
        <f>SUMIFS(tblData[Q4 HPI YoY change],tblData[State],$B61,tblData[Year],G$12)</f>
        <v>0.05829</v>
      </c>
      <c r="H61" s="14">
        <f>SUMIFS(tblData[Q4 HPI YoY change],tblData[State],$B61,tblData[Year],H$12)</f>
        <v>0.122875</v>
      </c>
      <c r="I61" s="14">
        <f>SUMIFS(tblData[Q4 HPI YoY change],tblData[State],$B61,tblData[Year],I$12)</f>
        <v>0.033653</v>
      </c>
      <c r="J61" s="14">
        <f>SUMIFS(tblData[Q4 HPI YoY change],tblData[State],$B61,tblData[Year],J$12)</f>
        <v>0.004469</v>
      </c>
    </row>
    <row r="62" spans="2:14">
      <c r="B62" t="s">
        <v>127</v>
      </c>
      <c r="C62" s="14">
        <f>SUMIFS(tblData[Q4 HPI YoY change],tblData[State],$B62,tblData[Year],C$12)</f>
        <v>0.069702</v>
      </c>
      <c r="D62" s="14">
        <f>SUMIFS(tblData[Q4 HPI YoY change],tblData[State],$B62,tblData[Year],D$12)</f>
        <v>0.064653</v>
      </c>
      <c r="E62" s="14">
        <f>SUMIFS(tblData[Q4 HPI YoY change],tblData[State],$B62,tblData[Year],E$12)</f>
        <v>0.105036</v>
      </c>
      <c r="F62" s="14">
        <f>SUMIFS(tblData[Q4 HPI YoY change],tblData[State],$B62,tblData[Year],F$12)</f>
        <v>0.133756</v>
      </c>
      <c r="G62" s="14">
        <f>SUMIFS(tblData[Q4 HPI YoY change],tblData[State],$B62,tblData[Year],G$12)</f>
        <v>0.095627</v>
      </c>
      <c r="H62" s="14">
        <f>SUMIFS(tblData[Q4 HPI YoY change],tblData[State],$B62,tblData[Year],H$12)</f>
        <v>0.086907</v>
      </c>
      <c r="I62" s="14">
        <f>SUMIFS(tblData[Q4 HPI YoY change],tblData[State],$B62,tblData[Year],I$12)</f>
        <v>0.067528</v>
      </c>
      <c r="J62" s="14">
        <f>SUMIFS(tblData[Q4 HPI YoY change],tblData[State],$B62,tblData[Year],J$12)</f>
        <v>0.056952</v>
      </c>
    </row>
    <row r="63" spans="2:14">
      <c r="B63" t="s">
        <v>129</v>
      </c>
      <c r="C63" s="14">
        <f>SUMIFS(tblData[Q4 HPI YoY change],tblData[State],$B63,tblData[Year],C$12)</f>
        <v>0.036058</v>
      </c>
      <c r="D63" s="14">
        <f>SUMIFS(tblData[Q4 HPI YoY change],tblData[State],$B63,tblData[Year],D$12)</f>
        <v>0.061312</v>
      </c>
      <c r="E63" s="14">
        <f>SUMIFS(tblData[Q4 HPI YoY change],tblData[State],$B63,tblData[Year],E$12)</f>
        <v>0.081801</v>
      </c>
      <c r="F63" s="14">
        <f>SUMIFS(tblData[Q4 HPI YoY change],tblData[State],$B63,tblData[Year],F$12)</f>
        <v>0.166941</v>
      </c>
      <c r="G63" s="14">
        <f>SUMIFS(tblData[Q4 HPI YoY change],tblData[State],$B63,tblData[Year],G$12)</f>
        <v>0.073942</v>
      </c>
      <c r="H63" s="14">
        <f>SUMIFS(tblData[Q4 HPI YoY change],tblData[State],$B63,tblData[Year],H$12)</f>
        <v>0.026732</v>
      </c>
      <c r="I63" s="14">
        <f>SUMIFS(tblData[Q4 HPI YoY change],tblData[State],$B63,tblData[Year],I$12)</f>
        <v>0.074831</v>
      </c>
      <c r="J63" s="14">
        <f>SUMIFS(tblData[Q4 HPI YoY change],tblData[State],$B63,tblData[Year],J$12)</f>
        <v>0.032775</v>
      </c>
    </row>
    <row r="65" spans="2:2">
      <c r="B65" s="5" t="s">
        <v>215</v>
      </c>
    </row>
    <row r="66" spans="2:2">
      <c r="B66" s="5" t="s">
        <v>131</v>
      </c>
    </row>
  </sheetData>
  <mergeCells count="13">
    <mergeCell ref="C4:E4"/>
    <mergeCell ref="B6:C6"/>
    <mergeCell ref="B7:C8"/>
    <mergeCell ref="B9:C9"/>
    <mergeCell ref="D6:F6"/>
    <mergeCell ref="D7:F8"/>
    <mergeCell ref="D9:F9"/>
    <mergeCell ref="G6:I6"/>
    <mergeCell ref="G7:I8"/>
    <mergeCell ref="G9:I9"/>
    <mergeCell ref="J6:L6"/>
    <mergeCell ref="J7:L8"/>
    <mergeCell ref="J9:L9"/>
  </mergeCells>
  <conditionalFormatting sqref="B13:J63">
    <cfRule type="expression" dxfId="3" priority="2">
      <formula>$B13=$C$4</formula>
    </cfRule>
  </conditionalFormatting>
  <conditionalFormatting sqref="C13:J63">
    <cfRule type="colorScale" priority="1">
      <colorScale>
        <cfvo type="min" val="0"/>
        <cfvo type="num" val="0"/>
        <cfvo type="max" val="0"/>
        <color rgb="FFE66101"/>
        <color rgb="FFF7F7F7"/>
        <color rgb="FF8073AC"/>
      </colorScale>
    </cfRule>
  </conditionalFormatting>
  <dataValidations count="1">
    <dataValidation type="list" allowBlank="1" showInputMessage="1" showErrorMessage="1" promptTitle="Pick a state" prompt="Cards and charts update for this state." sqref="C4">
      <formula1>Calc!$B$2:$B$52</formula1>
    </dataValidation>
  </dataValidations>
  <pageMargins left="0.7" right="0.7" top="0.75" bottom="0.75" header="0.3" footer="0.3"/>
  <headerFooter>
    <oddFooter>&amp;L&amp;8Built from public FHFA and CFPB data. Not an official Fannie Mae, FHFA, or CFPB product.</oddFooter>
  </headerFooter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Calc!B107:I107</xm:f>
              <xm:sqref>L63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Dashboard!C63:J63</xm:f>
              <xm:sqref>K63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Calc!B106:I106</xm:f>
              <xm:sqref>L62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Dashboard!C62:J62</xm:f>
              <xm:sqref>K62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Calc!B105:I105</xm:f>
              <xm:sqref>L61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Dashboard!C61:J61</xm:f>
              <xm:sqref>K61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Calc!B104:I104</xm:f>
              <xm:sqref>L60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Dashboard!C60:J60</xm:f>
              <xm:sqref>K60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Calc!B103:I103</xm:f>
              <xm:sqref>L59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Dashboard!C59:J59</xm:f>
              <xm:sqref>K59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Calc!B102:I102</xm:f>
              <xm:sqref>L58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Dashboard!C58:J58</xm:f>
              <xm:sqref>K58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Calc!B101:I101</xm:f>
              <xm:sqref>L57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Dashboard!C57:J57</xm:f>
              <xm:sqref>K57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Calc!B100:I100</xm:f>
              <xm:sqref>L56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Dashboard!C56:J56</xm:f>
              <xm:sqref>K56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Calc!B99:I99</xm:f>
              <xm:sqref>L55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Dashboard!C55:J55</xm:f>
              <xm:sqref>K55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Calc!B98:I98</xm:f>
              <xm:sqref>L54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Dashboard!C54:J54</xm:f>
              <xm:sqref>K54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Calc!B97:I97</xm:f>
              <xm:sqref>L53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Dashboard!C53:J53</xm:f>
              <xm:sqref>K53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Calc!B96:I96</xm:f>
              <xm:sqref>L52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Dashboard!C52:J52</xm:f>
              <xm:sqref>K52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Calc!B95:I95</xm:f>
              <xm:sqref>L51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Dashboard!C51:J51</xm:f>
              <xm:sqref>K51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Calc!B94:I94</xm:f>
              <xm:sqref>L50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Dashboard!C50:J50</xm:f>
              <xm:sqref>K50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Calc!B93:I93</xm:f>
              <xm:sqref>L49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Dashboard!C49:J49</xm:f>
              <xm:sqref>K49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Calc!B92:I92</xm:f>
              <xm:sqref>L48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Dashboard!C48:J48</xm:f>
              <xm:sqref>K48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Calc!B91:I91</xm:f>
              <xm:sqref>L47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Dashboard!C47:J47</xm:f>
              <xm:sqref>K47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Calc!B90:I90</xm:f>
              <xm:sqref>L46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Dashboard!C46:J46</xm:f>
              <xm:sqref>K46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Calc!B89:I89</xm:f>
              <xm:sqref>L45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Dashboard!C45:J45</xm:f>
              <xm:sqref>K45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Calc!B88:I88</xm:f>
              <xm:sqref>L44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Dashboard!C44:J44</xm:f>
              <xm:sqref>K44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Calc!B87:I87</xm:f>
              <xm:sqref>L43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Dashboard!C43:J43</xm:f>
              <xm:sqref>K43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Calc!B86:I86</xm:f>
              <xm:sqref>L42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Dashboard!C42:J42</xm:f>
              <xm:sqref>K42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Calc!B85:I85</xm:f>
              <xm:sqref>L41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Dashboard!C41:J41</xm:f>
              <xm:sqref>K41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Calc!B84:I84</xm:f>
              <xm:sqref>L40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Dashboard!C40:J40</xm:f>
              <xm:sqref>K40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Calc!B83:I83</xm:f>
              <xm:sqref>L39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Dashboard!C39:J39</xm:f>
              <xm:sqref>K39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Calc!B82:I82</xm:f>
              <xm:sqref>L38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Dashboard!C38:J38</xm:f>
              <xm:sqref>K38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Calc!B81:I81</xm:f>
              <xm:sqref>L37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Dashboard!C37:J37</xm:f>
              <xm:sqref>K37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Calc!B80:I80</xm:f>
              <xm:sqref>L36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Dashboard!C36:J36</xm:f>
              <xm:sqref>K36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Calc!B79:I79</xm:f>
              <xm:sqref>L35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Dashboard!C35:J35</xm:f>
              <xm:sqref>K35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Calc!B78:I78</xm:f>
              <xm:sqref>L34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Dashboard!C34:J34</xm:f>
              <xm:sqref>K34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Calc!B77:I77</xm:f>
              <xm:sqref>L33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Dashboard!C33:J33</xm:f>
              <xm:sqref>K33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Calc!B76:I76</xm:f>
              <xm:sqref>L32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Dashboard!C32:J32</xm:f>
              <xm:sqref>K32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Calc!B75:I75</xm:f>
              <xm:sqref>L31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Dashboard!C31:J31</xm:f>
              <xm:sqref>K31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Calc!B74:I74</xm:f>
              <xm:sqref>L30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Dashboard!C30:J30</xm:f>
              <xm:sqref>K30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Calc!B73:I73</xm:f>
              <xm:sqref>L29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Dashboard!C29:J29</xm:f>
              <xm:sqref>K29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Calc!B72:I72</xm:f>
              <xm:sqref>L28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Dashboard!C28:J28</xm:f>
              <xm:sqref>K28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Calc!B71:I71</xm:f>
              <xm:sqref>L27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Dashboard!C27:J27</xm:f>
              <xm:sqref>K27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Calc!B70:I70</xm:f>
              <xm:sqref>L26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Dashboard!C26:J26</xm:f>
              <xm:sqref>K26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Calc!B69:I69</xm:f>
              <xm:sqref>L25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Dashboard!C25:J25</xm:f>
              <xm:sqref>K25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Calc!B68:I68</xm:f>
              <xm:sqref>L24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Dashboard!C24:J24</xm:f>
              <xm:sqref>K24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Calc!B67:I67</xm:f>
              <xm:sqref>L23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Dashboard!C23:J23</xm:f>
              <xm:sqref>K23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Calc!B66:I66</xm:f>
              <xm:sqref>L22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Dashboard!C22:J22</xm:f>
              <xm:sqref>K22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Calc!B65:I65</xm:f>
              <xm:sqref>L21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Dashboard!C21:J21</xm:f>
              <xm:sqref>K21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Calc!B64:I64</xm:f>
              <xm:sqref>L20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Dashboard!C20:J20</xm:f>
              <xm:sqref>K20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Calc!B63:I63</xm:f>
              <xm:sqref>L19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Dashboard!C19:J19</xm:f>
              <xm:sqref>K19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Calc!B62:I62</xm:f>
              <xm:sqref>L18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Dashboard!C18:J18</xm:f>
              <xm:sqref>K18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Calc!B61:I61</xm:f>
              <xm:sqref>L17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Dashboard!C17:J17</xm:f>
              <xm:sqref>K17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Calc!B60:I60</xm:f>
              <xm:sqref>L16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Dashboard!C16:J16</xm:f>
              <xm:sqref>K16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Calc!B59:I59</xm:f>
              <xm:sqref>L15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Dashboard!C15:J15</xm:f>
              <xm:sqref>K15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Calc!B58:I58</xm:f>
              <xm:sqref>L14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Dashboard!C14:J14</xm:f>
              <xm:sqref>K14</xm:sqref>
            </x14:sparkline>
          </x14:sparklines>
        </x14:sparklineGroup>
        <x14:sparklineGroup displayEmptyCellsAs="gap" markers="1" high="1">
          <x14:colorSeries rgb="FF0072B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D55E00"/>
          <x14:colorLow theme="4"/>
          <x14:sparklines>
            <x14:sparkline>
              <xm:f>Calc!B57:I57</xm:f>
              <xm:sqref>L13</xm:sqref>
            </x14:sparkline>
          </x14:sparklines>
        </x14:sparklineGroup>
        <x14:sparklineGroup type="column" displayEmptyCellsAs="gap" negative="1">
          <x14:colorSeries rgb="FF5E3C99"/>
          <x14:colorNegative rgb="FFE66101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Dashboard!C13:J13</xm:f>
              <xm:sqref>K13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O41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20.7109375" customWidth="1"/>
    <col min="3" max="3" width="11.7109375" customWidth="1"/>
    <col min="4" max="4" width="19.7109375" customWidth="1"/>
    <col min="5" max="5" width="7.7109375" customWidth="1"/>
    <col min="6" max="6" width="13.7109375" customWidth="1"/>
    <col min="7" max="7" width="17.7109375" customWidth="1"/>
    <col min="8" max="8" width="13.7109375" customWidth="1"/>
    <col min="9" max="9" width="17.7109375" customWidth="1"/>
    <col min="10" max="10" width="13.7109375" customWidth="1"/>
    <col min="11" max="11" width="17.7109375" customWidth="1"/>
    <col min="12" max="12" width="12.7109375" customWidth="1"/>
    <col min="13" max="13" width="18.7109375" customWidth="1"/>
    <col min="14" max="15" width="13.7109375" customWidth="1"/>
  </cols>
  <sheetData>
    <row r="1" spans="1:15" s="13" customFormat="1" ht="30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2018</v>
      </c>
      <c r="F2" s="15">
        <v>64977</v>
      </c>
      <c r="G2" s="16">
        <v>12441015000</v>
      </c>
      <c r="H2" s="15">
        <v>15735</v>
      </c>
      <c r="I2" s="16">
        <v>2968945000</v>
      </c>
      <c r="J2" s="15">
        <v>12698</v>
      </c>
      <c r="K2" s="16">
        <v>2121790000</v>
      </c>
      <c r="L2" s="15">
        <v>93410</v>
      </c>
      <c r="M2" s="16">
        <v>17531750000</v>
      </c>
      <c r="N2" s="16">
        <v>187686.01</v>
      </c>
      <c r="O2" s="17">
        <v>0.046723</v>
      </c>
    </row>
    <row r="3" spans="1:15">
      <c r="A3" t="s">
        <v>15</v>
      </c>
      <c r="B3" t="s">
        <v>16</v>
      </c>
      <c r="C3" t="s">
        <v>17</v>
      </c>
      <c r="D3" t="s">
        <v>18</v>
      </c>
      <c r="E3">
        <v>2019</v>
      </c>
      <c r="F3" s="15">
        <v>69028</v>
      </c>
      <c r="G3" s="16">
        <v>14062010000</v>
      </c>
      <c r="H3" s="15">
        <v>25121</v>
      </c>
      <c r="I3" s="16">
        <v>5927115000</v>
      </c>
      <c r="J3" s="15">
        <v>15137</v>
      </c>
      <c r="K3" s="16">
        <v>2888135000</v>
      </c>
      <c r="L3" s="15">
        <v>109286</v>
      </c>
      <c r="M3" s="16">
        <v>22877260000</v>
      </c>
      <c r="N3" s="16">
        <v>209333.86</v>
      </c>
      <c r="O3" s="17">
        <v>0.06561599999999999</v>
      </c>
    </row>
    <row r="4" spans="1:15">
      <c r="A4" t="s">
        <v>15</v>
      </c>
      <c r="B4" t="s">
        <v>16</v>
      </c>
      <c r="C4" t="s">
        <v>17</v>
      </c>
      <c r="D4" t="s">
        <v>18</v>
      </c>
      <c r="E4">
        <v>2020</v>
      </c>
      <c r="F4" s="15">
        <v>80056</v>
      </c>
      <c r="G4" s="16">
        <v>17433210000</v>
      </c>
      <c r="H4" s="15">
        <v>72194</v>
      </c>
      <c r="I4" s="16">
        <v>16409490000</v>
      </c>
      <c r="J4" s="15">
        <v>21558</v>
      </c>
      <c r="K4" s="16">
        <v>4653220000</v>
      </c>
      <c r="L4" s="15">
        <v>173808</v>
      </c>
      <c r="M4" s="16">
        <v>38495920000</v>
      </c>
      <c r="N4" s="16">
        <v>221485.32</v>
      </c>
      <c r="O4" s="17">
        <v>0.113352</v>
      </c>
    </row>
    <row r="5" spans="1:15">
      <c r="A5" t="s">
        <v>15</v>
      </c>
      <c r="B5" t="s">
        <v>16</v>
      </c>
      <c r="C5" t="s">
        <v>17</v>
      </c>
      <c r="D5" t="s">
        <v>18</v>
      </c>
      <c r="E5">
        <v>2021</v>
      </c>
      <c r="F5" s="15">
        <v>88540</v>
      </c>
      <c r="G5" s="16">
        <v>21757490000</v>
      </c>
      <c r="H5" s="15">
        <v>64466</v>
      </c>
      <c r="I5" s="16">
        <v>14136150000</v>
      </c>
      <c r="J5" s="15">
        <v>31624</v>
      </c>
      <c r="K5" s="16">
        <v>6599270000</v>
      </c>
      <c r="L5" s="15">
        <v>184630</v>
      </c>
      <c r="M5" s="16">
        <v>42492910000</v>
      </c>
      <c r="N5" s="16">
        <v>230151.71</v>
      </c>
      <c r="O5" s="17">
        <v>0.170088</v>
      </c>
    </row>
    <row r="6" spans="1:15">
      <c r="A6" t="s">
        <v>15</v>
      </c>
      <c r="B6" t="s">
        <v>16</v>
      </c>
      <c r="C6" t="s">
        <v>17</v>
      </c>
      <c r="D6" t="s">
        <v>18</v>
      </c>
      <c r="E6">
        <v>2022</v>
      </c>
      <c r="F6" s="15">
        <v>73500</v>
      </c>
      <c r="G6" s="16">
        <v>20324570000</v>
      </c>
      <c r="H6" s="15">
        <v>16492</v>
      </c>
      <c r="I6" s="16">
        <v>4012090000</v>
      </c>
      <c r="J6" s="15">
        <v>21438</v>
      </c>
      <c r="K6" s="16">
        <v>4454040000</v>
      </c>
      <c r="L6" s="15">
        <v>111430</v>
      </c>
      <c r="M6" s="16">
        <v>28790700000</v>
      </c>
      <c r="N6" s="16">
        <v>258374.76</v>
      </c>
      <c r="O6" s="17">
        <v>0.09743</v>
      </c>
    </row>
    <row r="7" spans="1:15">
      <c r="A7" t="s">
        <v>15</v>
      </c>
      <c r="B7" t="s">
        <v>16</v>
      </c>
      <c r="C7" t="s">
        <v>17</v>
      </c>
      <c r="D7" t="s">
        <v>18</v>
      </c>
      <c r="E7">
        <v>2023</v>
      </c>
      <c r="F7" s="15">
        <v>59342</v>
      </c>
      <c r="G7" s="16">
        <v>15618320000</v>
      </c>
      <c r="H7" s="15">
        <v>8991</v>
      </c>
      <c r="I7" s="16">
        <v>2304845000</v>
      </c>
      <c r="J7" s="15">
        <v>10776</v>
      </c>
      <c r="K7" s="16">
        <v>2255870000</v>
      </c>
      <c r="L7" s="15">
        <v>79109</v>
      </c>
      <c r="M7" s="16">
        <v>20179035000</v>
      </c>
      <c r="N7" s="16">
        <v>255078.88</v>
      </c>
      <c r="O7" s="17">
        <v>0.041433</v>
      </c>
    </row>
    <row r="8" spans="1:15">
      <c r="A8" t="s">
        <v>15</v>
      </c>
      <c r="B8" t="s">
        <v>16</v>
      </c>
      <c r="C8" t="s">
        <v>17</v>
      </c>
      <c r="D8" t="s">
        <v>18</v>
      </c>
      <c r="E8">
        <v>2024</v>
      </c>
      <c r="F8" s="15">
        <v>61667</v>
      </c>
      <c r="G8" s="16">
        <v>16085195000</v>
      </c>
      <c r="H8" s="15">
        <v>13241</v>
      </c>
      <c r="I8" s="16">
        <v>3568665000</v>
      </c>
      <c r="J8" s="15">
        <v>12337</v>
      </c>
      <c r="K8" s="16">
        <v>2500695000</v>
      </c>
      <c r="L8" s="15">
        <v>87245</v>
      </c>
      <c r="M8" s="16">
        <v>22154555000</v>
      </c>
      <c r="N8" s="16">
        <v>253934.95</v>
      </c>
      <c r="O8" s="17">
        <v>0.048609</v>
      </c>
    </row>
    <row r="9" spans="1:15">
      <c r="A9" t="s">
        <v>15</v>
      </c>
      <c r="B9" t="s">
        <v>16</v>
      </c>
      <c r="C9" t="s">
        <v>17</v>
      </c>
      <c r="D9" t="s">
        <v>18</v>
      </c>
      <c r="E9">
        <v>2025</v>
      </c>
      <c r="F9" s="15">
        <v>63509</v>
      </c>
      <c r="G9" s="16">
        <v>17647305000</v>
      </c>
      <c r="H9" s="15">
        <v>17724</v>
      </c>
      <c r="I9" s="16">
        <v>5515480000</v>
      </c>
      <c r="J9" s="15">
        <v>15370</v>
      </c>
      <c r="K9" s="16">
        <v>3224830000</v>
      </c>
      <c r="L9" s="15">
        <v>96603</v>
      </c>
      <c r="M9" s="16">
        <v>26387615000</v>
      </c>
      <c r="N9" s="16">
        <v>273155.23</v>
      </c>
      <c r="O9" s="17">
        <v>0.024969</v>
      </c>
    </row>
    <row r="10" spans="1:15">
      <c r="A10" t="s">
        <v>19</v>
      </c>
      <c r="B10" t="s">
        <v>20</v>
      </c>
      <c r="C10" t="s">
        <v>21</v>
      </c>
      <c r="D10" t="s">
        <v>22</v>
      </c>
      <c r="E10">
        <v>2018</v>
      </c>
      <c r="F10" s="15">
        <v>8999</v>
      </c>
      <c r="G10" s="16">
        <v>2604125000</v>
      </c>
      <c r="H10" s="15">
        <v>1186</v>
      </c>
      <c r="I10" s="16">
        <v>287780000</v>
      </c>
      <c r="J10" s="15">
        <v>2122</v>
      </c>
      <c r="K10" s="16">
        <v>481150000</v>
      </c>
      <c r="L10" s="15">
        <v>12307</v>
      </c>
      <c r="M10" s="16">
        <v>3373055000</v>
      </c>
      <c r="N10" s="16">
        <v>274076.14</v>
      </c>
      <c r="O10" s="17">
        <v>0.013034</v>
      </c>
    </row>
    <row r="11" spans="1:15">
      <c r="A11" t="s">
        <v>19</v>
      </c>
      <c r="B11" t="s">
        <v>20</v>
      </c>
      <c r="C11" t="s">
        <v>21</v>
      </c>
      <c r="D11" t="s">
        <v>22</v>
      </c>
      <c r="E11">
        <v>2019</v>
      </c>
      <c r="F11" s="15">
        <v>9226</v>
      </c>
      <c r="G11" s="16">
        <v>2639130000</v>
      </c>
      <c r="H11" s="15">
        <v>3135</v>
      </c>
      <c r="I11" s="16">
        <v>929845000</v>
      </c>
      <c r="J11" s="15">
        <v>2086</v>
      </c>
      <c r="K11" s="16">
        <v>509440000</v>
      </c>
      <c r="L11" s="15">
        <v>14447</v>
      </c>
      <c r="M11" s="16">
        <v>4078415000</v>
      </c>
      <c r="N11" s="16">
        <v>282301.86</v>
      </c>
      <c r="O11" s="17">
        <v>0.040887</v>
      </c>
    </row>
    <row r="12" spans="1:15">
      <c r="A12" t="s">
        <v>19</v>
      </c>
      <c r="B12" t="s">
        <v>20</v>
      </c>
      <c r="C12" t="s">
        <v>21</v>
      </c>
      <c r="D12" t="s">
        <v>22</v>
      </c>
      <c r="E12">
        <v>2020</v>
      </c>
      <c r="F12" s="15">
        <v>10336</v>
      </c>
      <c r="G12" s="16">
        <v>3157330000</v>
      </c>
      <c r="H12" s="15">
        <v>11701</v>
      </c>
      <c r="I12" s="16">
        <v>3422115000</v>
      </c>
      <c r="J12" s="15">
        <v>3250</v>
      </c>
      <c r="K12" s="16">
        <v>844870000</v>
      </c>
      <c r="L12" s="15">
        <v>25287</v>
      </c>
      <c r="M12" s="16">
        <v>7424315000</v>
      </c>
      <c r="N12" s="16">
        <v>293602.05</v>
      </c>
      <c r="O12" s="17">
        <v>0.085273</v>
      </c>
    </row>
    <row r="13" spans="1:15">
      <c r="A13" t="s">
        <v>19</v>
      </c>
      <c r="B13" t="s">
        <v>20</v>
      </c>
      <c r="C13" t="s">
        <v>21</v>
      </c>
      <c r="D13" t="s">
        <v>22</v>
      </c>
      <c r="E13">
        <v>2021</v>
      </c>
      <c r="F13" s="15">
        <v>11892</v>
      </c>
      <c r="G13" s="16">
        <v>3938960000</v>
      </c>
      <c r="H13" s="15">
        <v>11157</v>
      </c>
      <c r="I13" s="16">
        <v>3116815000</v>
      </c>
      <c r="J13" s="15">
        <v>3983</v>
      </c>
      <c r="K13" s="16">
        <v>1056315000</v>
      </c>
      <c r="L13" s="15">
        <v>27032</v>
      </c>
      <c r="M13" s="16">
        <v>8112090000</v>
      </c>
      <c r="N13" s="16">
        <v>300092.11</v>
      </c>
      <c r="O13" s="17">
        <v>0.104741</v>
      </c>
    </row>
    <row r="14" spans="1:15">
      <c r="A14" t="s">
        <v>19</v>
      </c>
      <c r="B14" t="s">
        <v>20</v>
      </c>
      <c r="C14" t="s">
        <v>21</v>
      </c>
      <c r="D14" t="s">
        <v>22</v>
      </c>
      <c r="E14">
        <v>2022</v>
      </c>
      <c r="F14" s="15">
        <v>11546</v>
      </c>
      <c r="G14" s="16">
        <v>4008430000</v>
      </c>
      <c r="H14" s="15">
        <v>1720</v>
      </c>
      <c r="I14" s="16">
        <v>489840000</v>
      </c>
      <c r="J14" s="15">
        <v>2451</v>
      </c>
      <c r="K14" s="16">
        <v>655565000</v>
      </c>
      <c r="L14" s="15">
        <v>15717</v>
      </c>
      <c r="M14" s="16">
        <v>5153835000</v>
      </c>
      <c r="N14" s="16">
        <v>327914.68</v>
      </c>
      <c r="O14" s="17">
        <v>0.055185</v>
      </c>
    </row>
    <row r="15" spans="1:15">
      <c r="A15" t="s">
        <v>19</v>
      </c>
      <c r="B15" t="s">
        <v>20</v>
      </c>
      <c r="C15" t="s">
        <v>21</v>
      </c>
      <c r="D15" t="s">
        <v>22</v>
      </c>
      <c r="E15">
        <v>2023</v>
      </c>
      <c r="F15" s="15">
        <v>7111</v>
      </c>
      <c r="G15" s="16">
        <v>2574145000</v>
      </c>
      <c r="H15" s="15">
        <v>340</v>
      </c>
      <c r="I15" s="16">
        <v>170250000</v>
      </c>
      <c r="J15" s="15">
        <v>891</v>
      </c>
      <c r="K15" s="16">
        <v>208855000</v>
      </c>
      <c r="L15" s="15">
        <v>8342</v>
      </c>
      <c r="M15" s="16">
        <v>2953250000</v>
      </c>
      <c r="N15" s="16">
        <v>354021.82</v>
      </c>
      <c r="O15" s="17">
        <v>0.064347</v>
      </c>
    </row>
    <row r="16" spans="1:15">
      <c r="A16" t="s">
        <v>19</v>
      </c>
      <c r="B16" t="s">
        <v>20</v>
      </c>
      <c r="C16" t="s">
        <v>21</v>
      </c>
      <c r="D16" t="s">
        <v>22</v>
      </c>
      <c r="E16">
        <v>2024</v>
      </c>
      <c r="F16" s="15">
        <v>7145</v>
      </c>
      <c r="G16" s="16">
        <v>2694165000</v>
      </c>
      <c r="H16" s="15">
        <v>938</v>
      </c>
      <c r="I16" s="16">
        <v>345690000</v>
      </c>
      <c r="J16" s="15">
        <v>1165</v>
      </c>
      <c r="K16" s="16">
        <v>267875000</v>
      </c>
      <c r="L16" s="15">
        <v>9248</v>
      </c>
      <c r="M16" s="16">
        <v>3307730000</v>
      </c>
      <c r="N16" s="16">
        <v>357669.77</v>
      </c>
      <c r="O16" s="17">
        <v>0.038606</v>
      </c>
    </row>
    <row r="17" spans="1:15">
      <c r="A17" t="s">
        <v>19</v>
      </c>
      <c r="B17" t="s">
        <v>20</v>
      </c>
      <c r="C17" t="s">
        <v>21</v>
      </c>
      <c r="D17" t="s">
        <v>22</v>
      </c>
      <c r="E17">
        <v>2025</v>
      </c>
      <c r="F17" s="15">
        <v>7564</v>
      </c>
      <c r="G17" s="16">
        <v>2936050000</v>
      </c>
      <c r="H17" s="15">
        <v>1201</v>
      </c>
      <c r="I17" s="16">
        <v>541655000</v>
      </c>
      <c r="J17" s="15">
        <v>1606</v>
      </c>
      <c r="K17" s="16">
        <v>388220000</v>
      </c>
      <c r="L17" s="15">
        <v>10371</v>
      </c>
      <c r="M17" s="16">
        <v>3865925000</v>
      </c>
      <c r="N17" s="16">
        <v>372762.99</v>
      </c>
      <c r="O17" s="17">
        <v>0.045982</v>
      </c>
    </row>
    <row r="18" spans="1:15">
      <c r="A18" t="s">
        <v>23</v>
      </c>
      <c r="B18" t="s">
        <v>24</v>
      </c>
      <c r="C18" t="s">
        <v>21</v>
      </c>
      <c r="D18" t="s">
        <v>25</v>
      </c>
      <c r="E18">
        <v>2018</v>
      </c>
      <c r="F18" s="15">
        <v>131944</v>
      </c>
      <c r="G18" s="16">
        <v>34593330000</v>
      </c>
      <c r="H18" s="15">
        <v>26253</v>
      </c>
      <c r="I18" s="16">
        <v>7673685000</v>
      </c>
      <c r="J18" s="15">
        <v>37075</v>
      </c>
      <c r="K18" s="16">
        <v>7905015000</v>
      </c>
      <c r="L18" s="15">
        <v>195272</v>
      </c>
      <c r="M18" s="16">
        <v>50172030000</v>
      </c>
      <c r="N18" s="16">
        <v>256934.07</v>
      </c>
      <c r="O18" s="17">
        <v>0.083673</v>
      </c>
    </row>
    <row r="19" spans="1:15">
      <c r="A19" t="s">
        <v>23</v>
      </c>
      <c r="B19" t="s">
        <v>24</v>
      </c>
      <c r="C19" t="s">
        <v>21</v>
      </c>
      <c r="D19" t="s">
        <v>25</v>
      </c>
      <c r="E19">
        <v>2019</v>
      </c>
      <c r="F19" s="15">
        <v>139175</v>
      </c>
      <c r="G19" s="16">
        <v>39437435000</v>
      </c>
      <c r="H19" s="15">
        <v>80104</v>
      </c>
      <c r="I19" s="16">
        <v>23638920000</v>
      </c>
      <c r="J19" s="15">
        <v>53278</v>
      </c>
      <c r="K19" s="16">
        <v>12557920000</v>
      </c>
      <c r="L19" s="15">
        <v>272557</v>
      </c>
      <c r="M19" s="16">
        <v>75634275000</v>
      </c>
      <c r="N19" s="16">
        <v>277498.93</v>
      </c>
      <c r="O19" s="17">
        <v>0.07920099999999999</v>
      </c>
    </row>
    <row r="20" spans="1:15">
      <c r="A20" t="s">
        <v>23</v>
      </c>
      <c r="B20" t="s">
        <v>24</v>
      </c>
      <c r="C20" t="s">
        <v>21</v>
      </c>
      <c r="D20" t="s">
        <v>25</v>
      </c>
      <c r="E20">
        <v>2020</v>
      </c>
      <c r="F20" s="15">
        <v>152939</v>
      </c>
      <c r="G20" s="16">
        <v>46590215000</v>
      </c>
      <c r="H20" s="15">
        <v>236302</v>
      </c>
      <c r="I20" s="16">
        <v>64054160000</v>
      </c>
      <c r="J20" s="15">
        <v>78636</v>
      </c>
      <c r="K20" s="16">
        <v>20186700000</v>
      </c>
      <c r="L20" s="15">
        <v>467877</v>
      </c>
      <c r="M20" s="16">
        <v>130831075000</v>
      </c>
      <c r="N20" s="16">
        <v>279627.07</v>
      </c>
      <c r="O20" s="17">
        <v>0.141687</v>
      </c>
    </row>
    <row r="21" spans="1:15">
      <c r="A21" t="s">
        <v>23</v>
      </c>
      <c r="B21" t="s">
        <v>24</v>
      </c>
      <c r="C21" t="s">
        <v>21</v>
      </c>
      <c r="D21" t="s">
        <v>25</v>
      </c>
      <c r="E21">
        <v>2021</v>
      </c>
      <c r="F21" s="15">
        <v>152564</v>
      </c>
      <c r="G21" s="16">
        <v>56035760000</v>
      </c>
      <c r="H21" s="15">
        <v>175872</v>
      </c>
      <c r="I21" s="16">
        <v>48472950000</v>
      </c>
      <c r="J21" s="15">
        <v>132286</v>
      </c>
      <c r="K21" s="16">
        <v>37818240000</v>
      </c>
      <c r="L21" s="15">
        <v>460722</v>
      </c>
      <c r="M21" s="16">
        <v>142326950000</v>
      </c>
      <c r="N21" s="16">
        <v>308921.54</v>
      </c>
      <c r="O21" s="17">
        <v>0.272187</v>
      </c>
    </row>
    <row r="22" spans="1:15">
      <c r="A22" t="s">
        <v>23</v>
      </c>
      <c r="B22" t="s">
        <v>24</v>
      </c>
      <c r="C22" t="s">
        <v>21</v>
      </c>
      <c r="D22" t="s">
        <v>25</v>
      </c>
      <c r="E22">
        <v>2022</v>
      </c>
      <c r="F22" s="15">
        <v>117856</v>
      </c>
      <c r="G22" s="16">
        <v>49091650000</v>
      </c>
      <c r="H22" s="15">
        <v>24245</v>
      </c>
      <c r="I22" s="16">
        <v>10110195000</v>
      </c>
      <c r="J22" s="15">
        <v>63945</v>
      </c>
      <c r="K22" s="16">
        <v>19970455000</v>
      </c>
      <c r="L22" s="15">
        <v>206046</v>
      </c>
      <c r="M22" s="16">
        <v>79172300000</v>
      </c>
      <c r="N22" s="16">
        <v>384245.75</v>
      </c>
      <c r="O22" s="17">
        <v>0.051615</v>
      </c>
    </row>
    <row r="23" spans="1:15">
      <c r="A23" t="s">
        <v>23</v>
      </c>
      <c r="B23" t="s">
        <v>24</v>
      </c>
      <c r="C23" t="s">
        <v>21</v>
      </c>
      <c r="D23" t="s">
        <v>25</v>
      </c>
      <c r="E23">
        <v>2023</v>
      </c>
      <c r="F23" s="15">
        <v>91463</v>
      </c>
      <c r="G23" s="16">
        <v>37001975000</v>
      </c>
      <c r="H23" s="15">
        <v>7198</v>
      </c>
      <c r="I23" s="16">
        <v>4080100000</v>
      </c>
      <c r="J23" s="15">
        <v>19457</v>
      </c>
      <c r="K23" s="16">
        <v>4820295000</v>
      </c>
      <c r="L23" s="15">
        <v>118118</v>
      </c>
      <c r="M23" s="16">
        <v>45902370000</v>
      </c>
      <c r="N23" s="16">
        <v>388614.52</v>
      </c>
      <c r="O23" s="17">
        <v>0.057833</v>
      </c>
    </row>
    <row r="24" spans="1:15">
      <c r="A24" t="s">
        <v>23</v>
      </c>
      <c r="B24" t="s">
        <v>24</v>
      </c>
      <c r="C24" t="s">
        <v>21</v>
      </c>
      <c r="D24" t="s">
        <v>25</v>
      </c>
      <c r="E24">
        <v>2024</v>
      </c>
      <c r="F24" s="15">
        <v>93109</v>
      </c>
      <c r="G24" s="16">
        <v>38699325000</v>
      </c>
      <c r="H24" s="15">
        <v>17975</v>
      </c>
      <c r="I24" s="16">
        <v>9797005000</v>
      </c>
      <c r="J24" s="15">
        <v>22513</v>
      </c>
      <c r="K24" s="16">
        <v>6309035000</v>
      </c>
      <c r="L24" s="15">
        <v>133597</v>
      </c>
      <c r="M24" s="16">
        <v>54805365000</v>
      </c>
      <c r="N24" s="16">
        <v>410229.01</v>
      </c>
      <c r="O24" s="17">
        <v>0.018212</v>
      </c>
    </row>
    <row r="25" spans="1:15">
      <c r="A25" t="s">
        <v>23</v>
      </c>
      <c r="B25" t="s">
        <v>24</v>
      </c>
      <c r="C25" t="s">
        <v>21</v>
      </c>
      <c r="D25" t="s">
        <v>25</v>
      </c>
      <c r="E25">
        <v>2025</v>
      </c>
      <c r="F25" s="15">
        <v>95029</v>
      </c>
      <c r="G25" s="16">
        <v>41062455000</v>
      </c>
      <c r="H25" s="15">
        <v>27959</v>
      </c>
      <c r="I25" s="16">
        <v>14902095000</v>
      </c>
      <c r="J25" s="15">
        <v>27297</v>
      </c>
      <c r="K25" s="16">
        <v>7699015000</v>
      </c>
      <c r="L25" s="15">
        <v>150285</v>
      </c>
      <c r="M25" s="16">
        <v>63663565000</v>
      </c>
      <c r="N25" s="16">
        <v>423618.89</v>
      </c>
      <c r="O25" s="17">
        <v>0.00777</v>
      </c>
    </row>
    <row r="26" spans="1:15">
      <c r="A26" t="s">
        <v>26</v>
      </c>
      <c r="B26" t="s">
        <v>27</v>
      </c>
      <c r="C26" t="s">
        <v>17</v>
      </c>
      <c r="D26" t="s">
        <v>28</v>
      </c>
      <c r="E26">
        <v>2018</v>
      </c>
      <c r="F26" s="15">
        <v>39808</v>
      </c>
      <c r="G26" s="16">
        <v>6807480000</v>
      </c>
      <c r="H26" s="15">
        <v>9990</v>
      </c>
      <c r="I26" s="16">
        <v>1624940000</v>
      </c>
      <c r="J26" s="15">
        <v>6284</v>
      </c>
      <c r="K26" s="16">
        <v>915300000</v>
      </c>
      <c r="L26" s="15">
        <v>56082</v>
      </c>
      <c r="M26" s="16">
        <v>9347720000</v>
      </c>
      <c r="N26" s="16">
        <v>166679.51</v>
      </c>
      <c r="O26" s="17">
        <v>0.033379</v>
      </c>
    </row>
    <row r="27" spans="1:15">
      <c r="A27" t="s">
        <v>26</v>
      </c>
      <c r="B27" t="s">
        <v>27</v>
      </c>
      <c r="C27" t="s">
        <v>17</v>
      </c>
      <c r="D27" t="s">
        <v>28</v>
      </c>
      <c r="E27">
        <v>2019</v>
      </c>
      <c r="F27" s="15">
        <v>41480</v>
      </c>
      <c r="G27" s="16">
        <v>7822380000</v>
      </c>
      <c r="H27" s="15">
        <v>13604</v>
      </c>
      <c r="I27" s="16">
        <v>2687330000</v>
      </c>
      <c r="J27" s="15">
        <v>7115</v>
      </c>
      <c r="K27" s="16">
        <v>1159735000</v>
      </c>
      <c r="L27" s="15">
        <v>62199</v>
      </c>
      <c r="M27" s="16">
        <v>11669445000</v>
      </c>
      <c r="N27" s="16">
        <v>187614.67</v>
      </c>
      <c r="O27" s="17">
        <v>0.039187</v>
      </c>
    </row>
    <row r="28" spans="1:15">
      <c r="A28" t="s">
        <v>26</v>
      </c>
      <c r="B28" t="s">
        <v>27</v>
      </c>
      <c r="C28" t="s">
        <v>17</v>
      </c>
      <c r="D28" t="s">
        <v>28</v>
      </c>
      <c r="E28">
        <v>2020</v>
      </c>
      <c r="F28" s="15">
        <v>48156</v>
      </c>
      <c r="G28" s="16">
        <v>9153090000</v>
      </c>
      <c r="H28" s="15">
        <v>38384</v>
      </c>
      <c r="I28" s="16">
        <v>8047850000</v>
      </c>
      <c r="J28" s="15">
        <v>10521</v>
      </c>
      <c r="K28" s="16">
        <v>2060135000</v>
      </c>
      <c r="L28" s="15">
        <v>97061</v>
      </c>
      <c r="M28" s="16">
        <v>19261075000</v>
      </c>
      <c r="N28" s="16">
        <v>198442.99</v>
      </c>
      <c r="O28" s="17">
        <v>0.108858</v>
      </c>
    </row>
    <row r="29" spans="1:15">
      <c r="A29" t="s">
        <v>26</v>
      </c>
      <c r="B29" t="s">
        <v>27</v>
      </c>
      <c r="C29" t="s">
        <v>17</v>
      </c>
      <c r="D29" t="s">
        <v>28</v>
      </c>
      <c r="E29">
        <v>2021</v>
      </c>
      <c r="F29" s="15">
        <v>51261</v>
      </c>
      <c r="G29" s="16">
        <v>11499605000</v>
      </c>
      <c r="H29" s="15">
        <v>34456</v>
      </c>
      <c r="I29" s="16">
        <v>7004680000</v>
      </c>
      <c r="J29" s="15">
        <v>15342</v>
      </c>
      <c r="K29" s="16">
        <v>2916540000</v>
      </c>
      <c r="L29" s="15">
        <v>101059</v>
      </c>
      <c r="M29" s="16">
        <v>21420825000</v>
      </c>
      <c r="N29" s="16">
        <v>211963.56</v>
      </c>
      <c r="O29" s="17">
        <v>0.185314</v>
      </c>
    </row>
    <row r="30" spans="1:15">
      <c r="A30" t="s">
        <v>26</v>
      </c>
      <c r="B30" t="s">
        <v>27</v>
      </c>
      <c r="C30" t="s">
        <v>17</v>
      </c>
      <c r="D30" t="s">
        <v>28</v>
      </c>
      <c r="E30">
        <v>2022</v>
      </c>
      <c r="F30" s="15">
        <v>43376</v>
      </c>
      <c r="G30" s="16">
        <v>11125510000</v>
      </c>
      <c r="H30" s="15">
        <v>9447</v>
      </c>
      <c r="I30" s="16">
        <v>2137585000</v>
      </c>
      <c r="J30" s="15">
        <v>10003</v>
      </c>
      <c r="K30" s="16">
        <v>1913715000</v>
      </c>
      <c r="L30" s="15">
        <v>62826</v>
      </c>
      <c r="M30" s="16">
        <v>15176810000</v>
      </c>
      <c r="N30" s="16">
        <v>241568.94</v>
      </c>
      <c r="O30" s="17">
        <v>0.09378499999999999</v>
      </c>
    </row>
    <row r="31" spans="1:15">
      <c r="A31" t="s">
        <v>26</v>
      </c>
      <c r="B31" t="s">
        <v>27</v>
      </c>
      <c r="C31" t="s">
        <v>17</v>
      </c>
      <c r="D31" t="s">
        <v>28</v>
      </c>
      <c r="E31">
        <v>2023</v>
      </c>
      <c r="F31" s="15">
        <v>35721</v>
      </c>
      <c r="G31" s="16">
        <v>8809925000</v>
      </c>
      <c r="H31" s="15">
        <v>4589</v>
      </c>
      <c r="I31" s="16">
        <v>1018855000</v>
      </c>
      <c r="J31" s="15">
        <v>5004</v>
      </c>
      <c r="K31" s="16">
        <v>919540000</v>
      </c>
      <c r="L31" s="15">
        <v>45314</v>
      </c>
      <c r="M31" s="16">
        <v>10748320000</v>
      </c>
      <c r="N31" s="16">
        <v>237196.45</v>
      </c>
      <c r="O31" s="17">
        <v>0.056389</v>
      </c>
    </row>
    <row r="32" spans="1:15">
      <c r="A32" t="s">
        <v>26</v>
      </c>
      <c r="B32" t="s">
        <v>27</v>
      </c>
      <c r="C32" t="s">
        <v>17</v>
      </c>
      <c r="D32" t="s">
        <v>28</v>
      </c>
      <c r="E32">
        <v>2024</v>
      </c>
      <c r="F32" s="15">
        <v>36020</v>
      </c>
      <c r="G32" s="16">
        <v>9219970000</v>
      </c>
      <c r="H32" s="15">
        <v>7252</v>
      </c>
      <c r="I32" s="16">
        <v>1838920000</v>
      </c>
      <c r="J32" s="15">
        <v>5689</v>
      </c>
      <c r="K32" s="16">
        <v>1036945000</v>
      </c>
      <c r="L32" s="15">
        <v>48961</v>
      </c>
      <c r="M32" s="16">
        <v>12095835000</v>
      </c>
      <c r="N32" s="16">
        <v>247050.41</v>
      </c>
      <c r="O32" s="17">
        <v>0.043951</v>
      </c>
    </row>
    <row r="33" spans="1:15">
      <c r="A33" t="s">
        <v>26</v>
      </c>
      <c r="B33" t="s">
        <v>27</v>
      </c>
      <c r="C33" t="s">
        <v>17</v>
      </c>
      <c r="D33" t="s">
        <v>28</v>
      </c>
      <c r="E33">
        <v>2025</v>
      </c>
      <c r="F33" s="15">
        <v>38597</v>
      </c>
      <c r="G33" s="16">
        <v>10329345000</v>
      </c>
      <c r="H33" s="15">
        <v>10243</v>
      </c>
      <c r="I33" s="16">
        <v>2890895000</v>
      </c>
      <c r="J33" s="15">
        <v>7356</v>
      </c>
      <c r="K33" s="16">
        <v>1489620000</v>
      </c>
      <c r="L33" s="15">
        <v>56196</v>
      </c>
      <c r="M33" s="16">
        <v>14709860000</v>
      </c>
      <c r="N33" s="16">
        <v>261759.91</v>
      </c>
      <c r="O33" s="17">
        <v>0.040333</v>
      </c>
    </row>
    <row r="34" spans="1:15">
      <c r="A34" t="s">
        <v>29</v>
      </c>
      <c r="B34" t="s">
        <v>30</v>
      </c>
      <c r="C34" t="s">
        <v>21</v>
      </c>
      <c r="D34" t="s">
        <v>22</v>
      </c>
      <c r="E34">
        <v>2018</v>
      </c>
      <c r="F34" s="15">
        <v>383964</v>
      </c>
      <c r="G34" s="16">
        <v>195673270000</v>
      </c>
      <c r="H34" s="15">
        <v>136305</v>
      </c>
      <c r="I34" s="16">
        <v>72616485000</v>
      </c>
      <c r="J34" s="15">
        <v>204567</v>
      </c>
      <c r="K34" s="16">
        <v>83386915000</v>
      </c>
      <c r="L34" s="15">
        <v>724836</v>
      </c>
      <c r="M34" s="16">
        <v>351676670000</v>
      </c>
      <c r="N34" s="16">
        <v>485181.02</v>
      </c>
      <c r="O34" s="17">
        <v>0.048003</v>
      </c>
    </row>
    <row r="35" spans="1:15">
      <c r="A35" t="s">
        <v>29</v>
      </c>
      <c r="B35" t="s">
        <v>30</v>
      </c>
      <c r="C35" t="s">
        <v>21</v>
      </c>
      <c r="D35" t="s">
        <v>22</v>
      </c>
      <c r="E35">
        <v>2019</v>
      </c>
      <c r="F35" s="15">
        <v>391210</v>
      </c>
      <c r="G35" s="16">
        <v>205888590000</v>
      </c>
      <c r="H35" s="15">
        <v>386684</v>
      </c>
      <c r="I35" s="16">
        <v>205170590000</v>
      </c>
      <c r="J35" s="15">
        <v>262766</v>
      </c>
      <c r="K35" s="16">
        <v>119234340000</v>
      </c>
      <c r="L35" s="15">
        <v>1040660</v>
      </c>
      <c r="M35" s="16">
        <v>530293520000</v>
      </c>
      <c r="N35" s="16">
        <v>509574.23</v>
      </c>
      <c r="O35" s="17">
        <v>0.044401</v>
      </c>
    </row>
    <row r="36" spans="1:15">
      <c r="A36" t="s">
        <v>29</v>
      </c>
      <c r="B36" t="s">
        <v>30</v>
      </c>
      <c r="C36" t="s">
        <v>21</v>
      </c>
      <c r="D36" t="s">
        <v>22</v>
      </c>
      <c r="E36">
        <v>2020</v>
      </c>
      <c r="F36" s="15">
        <v>408138</v>
      </c>
      <c r="G36" s="16">
        <v>225610110000</v>
      </c>
      <c r="H36" s="15">
        <v>1113301</v>
      </c>
      <c r="I36" s="16">
        <v>503787755000</v>
      </c>
      <c r="J36" s="15">
        <v>371366</v>
      </c>
      <c r="K36" s="16">
        <v>162546100000</v>
      </c>
      <c r="L36" s="15">
        <v>1892805</v>
      </c>
      <c r="M36" s="16">
        <v>891943965000</v>
      </c>
      <c r="N36" s="16">
        <v>471228.66</v>
      </c>
      <c r="O36" s="17">
        <v>0.115793</v>
      </c>
    </row>
    <row r="37" spans="1:15">
      <c r="A37" t="s">
        <v>29</v>
      </c>
      <c r="B37" t="s">
        <v>30</v>
      </c>
      <c r="C37" t="s">
        <v>21</v>
      </c>
      <c r="D37" t="s">
        <v>22</v>
      </c>
      <c r="E37">
        <v>2021</v>
      </c>
      <c r="F37" s="15">
        <v>479040</v>
      </c>
      <c r="G37" s="16">
        <v>308964620000</v>
      </c>
      <c r="H37" s="15">
        <v>910564</v>
      </c>
      <c r="I37" s="16">
        <v>438314740000</v>
      </c>
      <c r="J37" s="15">
        <v>503475</v>
      </c>
      <c r="K37" s="16">
        <v>232003655000</v>
      </c>
      <c r="L37" s="15">
        <v>1893079</v>
      </c>
      <c r="M37" s="16">
        <v>979283015000</v>
      </c>
      <c r="N37" s="16">
        <v>517296.43</v>
      </c>
      <c r="O37" s="17">
        <v>0.191342</v>
      </c>
    </row>
    <row r="38" spans="1:15">
      <c r="A38" t="s">
        <v>29</v>
      </c>
      <c r="B38" t="s">
        <v>30</v>
      </c>
      <c r="C38" t="s">
        <v>21</v>
      </c>
      <c r="D38" t="s">
        <v>22</v>
      </c>
      <c r="E38">
        <v>2022</v>
      </c>
      <c r="F38" s="15">
        <v>351166</v>
      </c>
      <c r="G38" s="16">
        <v>246860630000</v>
      </c>
      <c r="H38" s="15">
        <v>115080</v>
      </c>
      <c r="I38" s="16">
        <v>75792430000</v>
      </c>
      <c r="J38" s="15">
        <v>201433</v>
      </c>
      <c r="K38" s="16">
        <v>101735655000</v>
      </c>
      <c r="L38" s="15">
        <v>667679</v>
      </c>
      <c r="M38" s="16">
        <v>424388715000</v>
      </c>
      <c r="N38" s="16">
        <v>635617.89</v>
      </c>
      <c r="O38" s="17">
        <v>0.012414</v>
      </c>
    </row>
    <row r="39" spans="1:15">
      <c r="A39" t="s">
        <v>29</v>
      </c>
      <c r="B39" t="s">
        <v>30</v>
      </c>
      <c r="C39" t="s">
        <v>21</v>
      </c>
      <c r="D39" t="s">
        <v>22</v>
      </c>
      <c r="E39">
        <v>2023</v>
      </c>
      <c r="F39" s="15">
        <v>245316</v>
      </c>
      <c r="G39" s="16">
        <v>161742520000</v>
      </c>
      <c r="H39" s="15">
        <v>29110</v>
      </c>
      <c r="I39" s="16">
        <v>25869950000</v>
      </c>
      <c r="J39" s="15">
        <v>61472</v>
      </c>
      <c r="K39" s="16">
        <v>23742260000</v>
      </c>
      <c r="L39" s="15">
        <v>335898</v>
      </c>
      <c r="M39" s="16">
        <v>211354730000</v>
      </c>
      <c r="N39" s="16">
        <v>629222.95</v>
      </c>
      <c r="O39" s="17">
        <v>0.048409</v>
      </c>
    </row>
    <row r="40" spans="1:15">
      <c r="A40" t="s">
        <v>29</v>
      </c>
      <c r="B40" t="s">
        <v>30</v>
      </c>
      <c r="C40" t="s">
        <v>21</v>
      </c>
      <c r="D40" t="s">
        <v>22</v>
      </c>
      <c r="E40">
        <v>2024</v>
      </c>
      <c r="F40" s="15">
        <v>261993</v>
      </c>
      <c r="G40" s="16">
        <v>182895805000</v>
      </c>
      <c r="H40" s="15">
        <v>62335</v>
      </c>
      <c r="I40" s="16">
        <v>50129165000</v>
      </c>
      <c r="J40" s="15">
        <v>81736</v>
      </c>
      <c r="K40" s="16">
        <v>34927310000</v>
      </c>
      <c r="L40" s="15">
        <v>406064</v>
      </c>
      <c r="M40" s="16">
        <v>267952280000</v>
      </c>
      <c r="N40" s="16">
        <v>659876.97</v>
      </c>
      <c r="O40" s="17">
        <v>0.024759</v>
      </c>
    </row>
    <row r="41" spans="1:15">
      <c r="A41" t="s">
        <v>29</v>
      </c>
      <c r="B41" t="s">
        <v>30</v>
      </c>
      <c r="C41" t="s">
        <v>21</v>
      </c>
      <c r="D41" t="s">
        <v>22</v>
      </c>
      <c r="E41">
        <v>2025</v>
      </c>
      <c r="F41" s="15">
        <v>257970</v>
      </c>
      <c r="G41" s="16">
        <v>183349180000</v>
      </c>
      <c r="H41" s="15">
        <v>101847</v>
      </c>
      <c r="I41" s="16">
        <v>90618165000</v>
      </c>
      <c r="J41" s="15">
        <v>104368</v>
      </c>
      <c r="K41" s="16">
        <v>45387570000</v>
      </c>
      <c r="L41" s="15">
        <v>464185</v>
      </c>
      <c r="M41" s="16">
        <v>319354915000</v>
      </c>
      <c r="N41" s="16">
        <v>687990.6</v>
      </c>
      <c r="O41" s="17">
        <v>-0.00467</v>
      </c>
    </row>
    <row r="42" spans="1:15">
      <c r="A42" t="s">
        <v>31</v>
      </c>
      <c r="B42" t="s">
        <v>32</v>
      </c>
      <c r="C42" t="s">
        <v>21</v>
      </c>
      <c r="D42" t="s">
        <v>25</v>
      </c>
      <c r="E42">
        <v>2018</v>
      </c>
      <c r="F42" s="15">
        <v>115057</v>
      </c>
      <c r="G42" s="16">
        <v>41576625000</v>
      </c>
      <c r="H42" s="15">
        <v>27537</v>
      </c>
      <c r="I42" s="16">
        <v>9095465000</v>
      </c>
      <c r="J42" s="15">
        <v>49153</v>
      </c>
      <c r="K42" s="16">
        <v>13195065000</v>
      </c>
      <c r="L42" s="15">
        <v>191747</v>
      </c>
      <c r="M42" s="16">
        <v>63867155000</v>
      </c>
      <c r="N42" s="16">
        <v>333080.34</v>
      </c>
      <c r="O42" s="17">
        <v>0.068277</v>
      </c>
    </row>
    <row r="43" spans="1:15">
      <c r="A43" t="s">
        <v>31</v>
      </c>
      <c r="B43" t="s">
        <v>32</v>
      </c>
      <c r="C43" t="s">
        <v>21</v>
      </c>
      <c r="D43" t="s">
        <v>25</v>
      </c>
      <c r="E43">
        <v>2019</v>
      </c>
      <c r="F43" s="15">
        <v>120698</v>
      </c>
      <c r="G43" s="16">
        <v>44519760000</v>
      </c>
      <c r="H43" s="15">
        <v>84408</v>
      </c>
      <c r="I43" s="16">
        <v>31700140000</v>
      </c>
      <c r="J43" s="15">
        <v>63248</v>
      </c>
      <c r="K43" s="16">
        <v>19042170000</v>
      </c>
      <c r="L43" s="15">
        <v>268354</v>
      </c>
      <c r="M43" s="16">
        <v>95262070000</v>
      </c>
      <c r="N43" s="16">
        <v>354986.58</v>
      </c>
      <c r="O43" s="17">
        <v>0.061513</v>
      </c>
    </row>
    <row r="44" spans="1:15">
      <c r="A44" t="s">
        <v>31</v>
      </c>
      <c r="B44" t="s">
        <v>32</v>
      </c>
      <c r="C44" t="s">
        <v>21</v>
      </c>
      <c r="D44" t="s">
        <v>25</v>
      </c>
      <c r="E44">
        <v>2020</v>
      </c>
      <c r="F44" s="15">
        <v>131788</v>
      </c>
      <c r="G44" s="16">
        <v>51908570000</v>
      </c>
      <c r="H44" s="15">
        <v>235505</v>
      </c>
      <c r="I44" s="16">
        <v>80015875000</v>
      </c>
      <c r="J44" s="15">
        <v>83656</v>
      </c>
      <c r="K44" s="16">
        <v>26745850000</v>
      </c>
      <c r="L44" s="15">
        <v>450949</v>
      </c>
      <c r="M44" s="16">
        <v>158670295000</v>
      </c>
      <c r="N44" s="16">
        <v>351858.62</v>
      </c>
      <c r="O44" s="17">
        <v>0.108056</v>
      </c>
    </row>
    <row r="45" spans="1:15">
      <c r="A45" t="s">
        <v>31</v>
      </c>
      <c r="B45" t="s">
        <v>32</v>
      </c>
      <c r="C45" t="s">
        <v>21</v>
      </c>
      <c r="D45" t="s">
        <v>25</v>
      </c>
      <c r="E45">
        <v>2021</v>
      </c>
      <c r="F45" s="15">
        <v>139440</v>
      </c>
      <c r="G45" s="16">
        <v>64036130000</v>
      </c>
      <c r="H45" s="15">
        <v>168786</v>
      </c>
      <c r="I45" s="16">
        <v>58551120000</v>
      </c>
      <c r="J45" s="15">
        <v>98923</v>
      </c>
      <c r="K45" s="16">
        <v>33663845000</v>
      </c>
      <c r="L45" s="15">
        <v>407149</v>
      </c>
      <c r="M45" s="16">
        <v>156251095000</v>
      </c>
      <c r="N45" s="16">
        <v>383768.83</v>
      </c>
      <c r="O45" s="17">
        <v>0.180695</v>
      </c>
    </row>
    <row r="46" spans="1:15">
      <c r="A46" t="s">
        <v>31</v>
      </c>
      <c r="B46" t="s">
        <v>32</v>
      </c>
      <c r="C46" t="s">
        <v>21</v>
      </c>
      <c r="D46" t="s">
        <v>25</v>
      </c>
      <c r="E46">
        <v>2022</v>
      </c>
      <c r="F46" s="15">
        <v>106481</v>
      </c>
      <c r="G46" s="16">
        <v>54550355000</v>
      </c>
      <c r="H46" s="15">
        <v>24276</v>
      </c>
      <c r="I46" s="16">
        <v>11006930000</v>
      </c>
      <c r="J46" s="15">
        <v>41307</v>
      </c>
      <c r="K46" s="16">
        <v>15407725000</v>
      </c>
      <c r="L46" s="15">
        <v>172064</v>
      </c>
      <c r="M46" s="16">
        <v>80965010000</v>
      </c>
      <c r="N46" s="16">
        <v>470551.71</v>
      </c>
      <c r="O46" s="17">
        <v>0.047234</v>
      </c>
    </row>
    <row r="47" spans="1:15">
      <c r="A47" t="s">
        <v>31</v>
      </c>
      <c r="B47" t="s">
        <v>32</v>
      </c>
      <c r="C47" t="s">
        <v>21</v>
      </c>
      <c r="D47" t="s">
        <v>25</v>
      </c>
      <c r="E47">
        <v>2023</v>
      </c>
      <c r="F47" s="15">
        <v>80278</v>
      </c>
      <c r="G47" s="16">
        <v>39372200000</v>
      </c>
      <c r="H47" s="15">
        <v>7542</v>
      </c>
      <c r="I47" s="16">
        <v>4527680000</v>
      </c>
      <c r="J47" s="15">
        <v>14214</v>
      </c>
      <c r="K47" s="16">
        <v>4209580000</v>
      </c>
      <c r="L47" s="15">
        <v>102034</v>
      </c>
      <c r="M47" s="16">
        <v>48109460000</v>
      </c>
      <c r="N47" s="16">
        <v>471504.2</v>
      </c>
      <c r="O47" s="17">
        <v>0.030588</v>
      </c>
    </row>
    <row r="48" spans="1:15">
      <c r="A48" t="s">
        <v>31</v>
      </c>
      <c r="B48" t="s">
        <v>32</v>
      </c>
      <c r="C48" t="s">
        <v>21</v>
      </c>
      <c r="D48" t="s">
        <v>25</v>
      </c>
      <c r="E48">
        <v>2024</v>
      </c>
      <c r="F48" s="15">
        <v>79809</v>
      </c>
      <c r="G48" s="16">
        <v>40048475000</v>
      </c>
      <c r="H48" s="15">
        <v>15900</v>
      </c>
      <c r="I48" s="16">
        <v>8906660000</v>
      </c>
      <c r="J48" s="15">
        <v>17435</v>
      </c>
      <c r="K48" s="16">
        <v>6257615000</v>
      </c>
      <c r="L48" s="15">
        <v>113144</v>
      </c>
      <c r="M48" s="16">
        <v>55212750000</v>
      </c>
      <c r="N48" s="16">
        <v>487986.55</v>
      </c>
      <c r="O48" s="17">
        <v>0.022227</v>
      </c>
    </row>
    <row r="49" spans="1:15">
      <c r="A49" t="s">
        <v>31</v>
      </c>
      <c r="B49" t="s">
        <v>32</v>
      </c>
      <c r="C49" t="s">
        <v>21</v>
      </c>
      <c r="D49" t="s">
        <v>25</v>
      </c>
      <c r="E49">
        <v>2025</v>
      </c>
      <c r="F49" s="15">
        <v>81568</v>
      </c>
      <c r="G49" s="16">
        <v>41710330000</v>
      </c>
      <c r="H49" s="15">
        <v>26449</v>
      </c>
      <c r="I49" s="16">
        <v>15304735000</v>
      </c>
      <c r="J49" s="15">
        <v>21559</v>
      </c>
      <c r="K49" s="16">
        <v>6591865000</v>
      </c>
      <c r="L49" s="15">
        <v>129576</v>
      </c>
      <c r="M49" s="16">
        <v>63606930000</v>
      </c>
      <c r="N49" s="16">
        <v>490885.12</v>
      </c>
      <c r="O49" s="17">
        <v>-0.014876</v>
      </c>
    </row>
    <row r="50" spans="1:15">
      <c r="A50" t="s">
        <v>33</v>
      </c>
      <c r="B50" t="s">
        <v>34</v>
      </c>
      <c r="C50" t="s">
        <v>35</v>
      </c>
      <c r="D50" t="s">
        <v>36</v>
      </c>
      <c r="E50">
        <v>2018</v>
      </c>
      <c r="F50" s="15">
        <v>41156</v>
      </c>
      <c r="G50" s="16">
        <v>12661550000</v>
      </c>
      <c r="H50" s="15">
        <v>12818</v>
      </c>
      <c r="I50" s="16">
        <v>3928230000</v>
      </c>
      <c r="J50" s="15">
        <v>8565</v>
      </c>
      <c r="K50" s="16">
        <v>2249035000</v>
      </c>
      <c r="L50" s="15">
        <v>62539</v>
      </c>
      <c r="M50" s="16">
        <v>18838815000</v>
      </c>
      <c r="N50" s="16">
        <v>301233.07</v>
      </c>
      <c r="O50" s="17">
        <v>0.023047</v>
      </c>
    </row>
    <row r="51" spans="1:15">
      <c r="A51" t="s">
        <v>33</v>
      </c>
      <c r="B51" t="s">
        <v>34</v>
      </c>
      <c r="C51" t="s">
        <v>35</v>
      </c>
      <c r="D51" t="s">
        <v>36</v>
      </c>
      <c r="E51">
        <v>2019</v>
      </c>
      <c r="F51" s="15">
        <v>41801</v>
      </c>
      <c r="G51" s="16">
        <v>12533005000</v>
      </c>
      <c r="H51" s="15">
        <v>20843</v>
      </c>
      <c r="I51" s="16">
        <v>7156715000</v>
      </c>
      <c r="J51" s="15">
        <v>10321</v>
      </c>
      <c r="K51" s="16">
        <v>3047455000</v>
      </c>
      <c r="L51" s="15">
        <v>72965</v>
      </c>
      <c r="M51" s="16">
        <v>22737175000</v>
      </c>
      <c r="N51" s="16">
        <v>311617.56</v>
      </c>
      <c r="O51" s="17">
        <v>0.023353</v>
      </c>
    </row>
    <row r="52" spans="1:15">
      <c r="A52" t="s">
        <v>33</v>
      </c>
      <c r="B52" t="s">
        <v>34</v>
      </c>
      <c r="C52" t="s">
        <v>35</v>
      </c>
      <c r="D52" t="s">
        <v>36</v>
      </c>
      <c r="E52">
        <v>2020</v>
      </c>
      <c r="F52" s="15">
        <v>51226</v>
      </c>
      <c r="G52" s="16">
        <v>17105710000</v>
      </c>
      <c r="H52" s="15">
        <v>58478</v>
      </c>
      <c r="I52" s="16">
        <v>18650040000</v>
      </c>
      <c r="J52" s="15">
        <v>15323</v>
      </c>
      <c r="K52" s="16">
        <v>4678515000</v>
      </c>
      <c r="L52" s="15">
        <v>125027</v>
      </c>
      <c r="M52" s="16">
        <v>40434265000</v>
      </c>
      <c r="N52" s="16">
        <v>323404.26</v>
      </c>
      <c r="O52" s="17">
        <v>0.135135</v>
      </c>
    </row>
    <row r="53" spans="1:15">
      <c r="A53" t="s">
        <v>33</v>
      </c>
      <c r="B53" t="s">
        <v>34</v>
      </c>
      <c r="C53" t="s">
        <v>35</v>
      </c>
      <c r="D53" t="s">
        <v>36</v>
      </c>
      <c r="E53">
        <v>2021</v>
      </c>
      <c r="F53" s="15">
        <v>56337</v>
      </c>
      <c r="G53" s="16">
        <v>21843535000</v>
      </c>
      <c r="H53" s="15">
        <v>60760</v>
      </c>
      <c r="I53" s="16">
        <v>19247940000</v>
      </c>
      <c r="J53" s="15">
        <v>26874</v>
      </c>
      <c r="K53" s="16">
        <v>7964000000</v>
      </c>
      <c r="L53" s="15">
        <v>143971</v>
      </c>
      <c r="M53" s="16">
        <v>49055475000</v>
      </c>
      <c r="N53" s="16">
        <v>340731.64</v>
      </c>
      <c r="O53" s="17">
        <v>0.137121</v>
      </c>
    </row>
    <row r="54" spans="1:15">
      <c r="A54" t="s">
        <v>33</v>
      </c>
      <c r="B54" t="s">
        <v>34</v>
      </c>
      <c r="C54" t="s">
        <v>35</v>
      </c>
      <c r="D54" t="s">
        <v>36</v>
      </c>
      <c r="E54">
        <v>2022</v>
      </c>
      <c r="F54" s="15">
        <v>44854</v>
      </c>
      <c r="G54" s="16">
        <v>18040730000</v>
      </c>
      <c r="H54" s="15">
        <v>13472</v>
      </c>
      <c r="I54" s="16">
        <v>6068730000</v>
      </c>
      <c r="J54" s="15">
        <v>14470</v>
      </c>
      <c r="K54" s="16">
        <v>4518460000</v>
      </c>
      <c r="L54" s="15">
        <v>72796</v>
      </c>
      <c r="M54" s="16">
        <v>28627920000</v>
      </c>
      <c r="N54" s="16">
        <v>393262.27</v>
      </c>
      <c r="O54" s="17">
        <v>0.088174</v>
      </c>
    </row>
    <row r="55" spans="1:15">
      <c r="A55" t="s">
        <v>33</v>
      </c>
      <c r="B55" t="s">
        <v>34</v>
      </c>
      <c r="C55" t="s">
        <v>35</v>
      </c>
      <c r="D55" t="s">
        <v>36</v>
      </c>
      <c r="E55">
        <v>2023</v>
      </c>
      <c r="F55" s="15">
        <v>35534</v>
      </c>
      <c r="G55" s="16">
        <v>13355220000</v>
      </c>
      <c r="H55" s="15">
        <v>5814</v>
      </c>
      <c r="I55" s="16">
        <v>2360670000</v>
      </c>
      <c r="J55" s="15">
        <v>6332</v>
      </c>
      <c r="K55" s="16">
        <v>1825060000</v>
      </c>
      <c r="L55" s="15">
        <v>47680</v>
      </c>
      <c r="M55" s="16">
        <v>17540950000</v>
      </c>
      <c r="N55" s="16">
        <v>367889.05</v>
      </c>
      <c r="O55" s="17">
        <v>0.114507</v>
      </c>
    </row>
    <row r="56" spans="1:15">
      <c r="A56" t="s">
        <v>33</v>
      </c>
      <c r="B56" t="s">
        <v>34</v>
      </c>
      <c r="C56" t="s">
        <v>35</v>
      </c>
      <c r="D56" t="s">
        <v>36</v>
      </c>
      <c r="E56">
        <v>2024</v>
      </c>
      <c r="F56" s="15">
        <v>35150</v>
      </c>
      <c r="G56" s="16">
        <v>14112260000</v>
      </c>
      <c r="H56" s="15">
        <v>7552</v>
      </c>
      <c r="I56" s="16">
        <v>3073220000</v>
      </c>
      <c r="J56" s="15">
        <v>8249</v>
      </c>
      <c r="K56" s="16">
        <v>2308755000</v>
      </c>
      <c r="L56" s="15">
        <v>50951</v>
      </c>
      <c r="M56" s="16">
        <v>19494235000</v>
      </c>
      <c r="N56" s="16">
        <v>382607.51</v>
      </c>
      <c r="O56" s="17">
        <v>0.089085</v>
      </c>
    </row>
    <row r="57" spans="1:15">
      <c r="A57" t="s">
        <v>33</v>
      </c>
      <c r="B57" t="s">
        <v>34</v>
      </c>
      <c r="C57" t="s">
        <v>35</v>
      </c>
      <c r="D57" t="s">
        <v>36</v>
      </c>
      <c r="E57">
        <v>2025</v>
      </c>
      <c r="F57" s="15">
        <v>35676</v>
      </c>
      <c r="G57" s="16">
        <v>15680220000</v>
      </c>
      <c r="H57" s="15">
        <v>10950</v>
      </c>
      <c r="I57" s="16">
        <v>4801850000</v>
      </c>
      <c r="J57" s="15">
        <v>11040</v>
      </c>
      <c r="K57" s="16">
        <v>3655480000</v>
      </c>
      <c r="L57" s="15">
        <v>57666</v>
      </c>
      <c r="M57" s="16">
        <v>24137550000</v>
      </c>
      <c r="N57" s="16">
        <v>418575.07</v>
      </c>
      <c r="O57" s="17">
        <v>0.046341</v>
      </c>
    </row>
    <row r="58" spans="1:15">
      <c r="A58" t="s">
        <v>37</v>
      </c>
      <c r="B58" t="s">
        <v>38</v>
      </c>
      <c r="C58" t="s">
        <v>17</v>
      </c>
      <c r="D58" t="s">
        <v>39</v>
      </c>
      <c r="E58">
        <v>2018</v>
      </c>
      <c r="F58" s="15">
        <v>15503</v>
      </c>
      <c r="G58" s="16">
        <v>3981675000</v>
      </c>
      <c r="H58" s="15">
        <v>4077</v>
      </c>
      <c r="I58" s="16">
        <v>1206965000</v>
      </c>
      <c r="J58" s="15">
        <v>2935</v>
      </c>
      <c r="K58" s="16">
        <v>590195000</v>
      </c>
      <c r="L58" s="15">
        <v>22515</v>
      </c>
      <c r="M58" s="16">
        <v>5778835000</v>
      </c>
      <c r="N58" s="16">
        <v>256666</v>
      </c>
      <c r="O58" s="17">
        <v>0.039282</v>
      </c>
    </row>
    <row r="59" spans="1:15">
      <c r="A59" t="s">
        <v>37</v>
      </c>
      <c r="B59" t="s">
        <v>38</v>
      </c>
      <c r="C59" t="s">
        <v>17</v>
      </c>
      <c r="D59" t="s">
        <v>39</v>
      </c>
      <c r="E59">
        <v>2019</v>
      </c>
      <c r="F59" s="15">
        <v>16671</v>
      </c>
      <c r="G59" s="16">
        <v>4434835000</v>
      </c>
      <c r="H59" s="15">
        <v>7995</v>
      </c>
      <c r="I59" s="16">
        <v>2275065000</v>
      </c>
      <c r="J59" s="15">
        <v>3598</v>
      </c>
      <c r="K59" s="16">
        <v>826240000</v>
      </c>
      <c r="L59" s="15">
        <v>28264</v>
      </c>
      <c r="M59" s="16">
        <v>7536140000</v>
      </c>
      <c r="N59" s="16">
        <v>266633.88</v>
      </c>
      <c r="O59" s="17">
        <v>0.070614</v>
      </c>
    </row>
    <row r="60" spans="1:15">
      <c r="A60" t="s">
        <v>37</v>
      </c>
      <c r="B60" t="s">
        <v>38</v>
      </c>
      <c r="C60" t="s">
        <v>17</v>
      </c>
      <c r="D60" t="s">
        <v>39</v>
      </c>
      <c r="E60">
        <v>2020</v>
      </c>
      <c r="F60" s="15">
        <v>19352</v>
      </c>
      <c r="G60" s="16">
        <v>5671940000</v>
      </c>
      <c r="H60" s="15">
        <v>23662</v>
      </c>
      <c r="I60" s="16">
        <v>6996950000</v>
      </c>
      <c r="J60" s="15">
        <v>5108</v>
      </c>
      <c r="K60" s="16">
        <v>1322640000</v>
      </c>
      <c r="L60" s="15">
        <v>48122</v>
      </c>
      <c r="M60" s="16">
        <v>13991530000</v>
      </c>
      <c r="N60" s="16">
        <v>290751.22</v>
      </c>
      <c r="O60" s="17">
        <v>0.08358500000000001</v>
      </c>
    </row>
    <row r="61" spans="1:15">
      <c r="A61" t="s">
        <v>37</v>
      </c>
      <c r="B61" t="s">
        <v>38</v>
      </c>
      <c r="C61" t="s">
        <v>17</v>
      </c>
      <c r="D61" t="s">
        <v>39</v>
      </c>
      <c r="E61">
        <v>2021</v>
      </c>
      <c r="F61" s="15">
        <v>21418</v>
      </c>
      <c r="G61" s="16">
        <v>6831400000</v>
      </c>
      <c r="H61" s="15">
        <v>22864</v>
      </c>
      <c r="I61" s="16">
        <v>6062610000</v>
      </c>
      <c r="J61" s="15">
        <v>9208</v>
      </c>
      <c r="K61" s="16">
        <v>2524440000</v>
      </c>
      <c r="L61" s="15">
        <v>53490</v>
      </c>
      <c r="M61" s="16">
        <v>15418450000</v>
      </c>
      <c r="N61" s="16">
        <v>288249.21</v>
      </c>
      <c r="O61" s="17">
        <v>0.153717</v>
      </c>
    </row>
    <row r="62" spans="1:15">
      <c r="A62" t="s">
        <v>37</v>
      </c>
      <c r="B62" t="s">
        <v>38</v>
      </c>
      <c r="C62" t="s">
        <v>17</v>
      </c>
      <c r="D62" t="s">
        <v>39</v>
      </c>
      <c r="E62">
        <v>2022</v>
      </c>
      <c r="F62" s="15">
        <v>17271</v>
      </c>
      <c r="G62" s="16">
        <v>6168085000</v>
      </c>
      <c r="H62" s="15">
        <v>4310</v>
      </c>
      <c r="I62" s="16">
        <v>1144900000</v>
      </c>
      <c r="J62" s="15">
        <v>4930</v>
      </c>
      <c r="K62" s="16">
        <v>1355340000</v>
      </c>
      <c r="L62" s="15">
        <v>26511</v>
      </c>
      <c r="M62" s="16">
        <v>8668325000</v>
      </c>
      <c r="N62" s="16">
        <v>326970.88</v>
      </c>
      <c r="O62" s="17">
        <v>0.121628</v>
      </c>
    </row>
    <row r="63" spans="1:15">
      <c r="A63" t="s">
        <v>37</v>
      </c>
      <c r="B63" t="s">
        <v>38</v>
      </c>
      <c r="C63" t="s">
        <v>17</v>
      </c>
      <c r="D63" t="s">
        <v>39</v>
      </c>
      <c r="E63">
        <v>2023</v>
      </c>
      <c r="F63" s="15">
        <v>13344</v>
      </c>
      <c r="G63" s="16">
        <v>4656880000</v>
      </c>
      <c r="H63" s="15">
        <v>1667</v>
      </c>
      <c r="I63" s="16">
        <v>766405000</v>
      </c>
      <c r="J63" s="15">
        <v>2350</v>
      </c>
      <c r="K63" s="16">
        <v>549610000</v>
      </c>
      <c r="L63" s="15">
        <v>17361</v>
      </c>
      <c r="M63" s="16">
        <v>5972895000</v>
      </c>
      <c r="N63" s="16">
        <v>344040.95</v>
      </c>
      <c r="O63" s="17">
        <v>0.045877</v>
      </c>
    </row>
    <row r="64" spans="1:15">
      <c r="A64" t="s">
        <v>37</v>
      </c>
      <c r="B64" t="s">
        <v>38</v>
      </c>
      <c r="C64" t="s">
        <v>17</v>
      </c>
      <c r="D64" t="s">
        <v>39</v>
      </c>
      <c r="E64">
        <v>2024</v>
      </c>
      <c r="F64" s="15">
        <v>13681</v>
      </c>
      <c r="G64" s="16">
        <v>4766175000</v>
      </c>
      <c r="H64" s="15">
        <v>2736</v>
      </c>
      <c r="I64" s="16">
        <v>1021560000</v>
      </c>
      <c r="J64" s="15">
        <v>2996</v>
      </c>
      <c r="K64" s="16">
        <v>693260000</v>
      </c>
      <c r="L64" s="15">
        <v>19413</v>
      </c>
      <c r="M64" s="16">
        <v>6480995000</v>
      </c>
      <c r="N64" s="16">
        <v>333848.19</v>
      </c>
      <c r="O64" s="17">
        <v>0.035142</v>
      </c>
    </row>
    <row r="65" spans="1:15">
      <c r="A65" t="s">
        <v>37</v>
      </c>
      <c r="B65" t="s">
        <v>38</v>
      </c>
      <c r="C65" t="s">
        <v>17</v>
      </c>
      <c r="D65" t="s">
        <v>39</v>
      </c>
      <c r="E65">
        <v>2025</v>
      </c>
      <c r="F65" s="15">
        <v>14078</v>
      </c>
      <c r="G65" s="16">
        <v>5157580000</v>
      </c>
      <c r="H65" s="15">
        <v>4128</v>
      </c>
      <c r="I65" s="16">
        <v>1447560000</v>
      </c>
      <c r="J65" s="15">
        <v>3778</v>
      </c>
      <c r="K65" s="16">
        <v>845240000</v>
      </c>
      <c r="L65" s="15">
        <v>21984</v>
      </c>
      <c r="M65" s="16">
        <v>7450380000</v>
      </c>
      <c r="N65" s="16">
        <v>338900.11</v>
      </c>
      <c r="O65" s="17">
        <v>0.069829</v>
      </c>
    </row>
    <row r="66" spans="1:15">
      <c r="A66" t="s">
        <v>40</v>
      </c>
      <c r="B66" t="s">
        <v>41</v>
      </c>
      <c r="C66" t="s">
        <v>17</v>
      </c>
      <c r="D66" t="s">
        <v>39</v>
      </c>
      <c r="E66">
        <v>2018</v>
      </c>
      <c r="F66" s="15">
        <v>8709</v>
      </c>
      <c r="G66" s="16">
        <v>4861865000</v>
      </c>
      <c r="H66" s="15">
        <v>2036</v>
      </c>
      <c r="I66" s="16">
        <v>1568250000</v>
      </c>
      <c r="J66" s="15">
        <v>2701</v>
      </c>
      <c r="K66" s="16">
        <v>1156775000</v>
      </c>
      <c r="L66" s="15">
        <v>13446</v>
      </c>
      <c r="M66" s="16">
        <v>7586890000</v>
      </c>
      <c r="N66" s="16">
        <v>564248.85</v>
      </c>
      <c r="O66" s="17">
        <v>0.058342</v>
      </c>
    </row>
    <row r="67" spans="1:15">
      <c r="A67" t="s">
        <v>40</v>
      </c>
      <c r="B67" t="s">
        <v>41</v>
      </c>
      <c r="C67" t="s">
        <v>17</v>
      </c>
      <c r="D67" t="s">
        <v>39</v>
      </c>
      <c r="E67">
        <v>2019</v>
      </c>
      <c r="F67" s="15">
        <v>9061</v>
      </c>
      <c r="G67" s="16">
        <v>5189765000</v>
      </c>
      <c r="H67" s="15">
        <v>5202</v>
      </c>
      <c r="I67" s="16">
        <v>3444320000</v>
      </c>
      <c r="J67" s="15">
        <v>3266</v>
      </c>
      <c r="K67" s="16">
        <v>1611150000</v>
      </c>
      <c r="L67" s="15">
        <v>17529</v>
      </c>
      <c r="M67" s="16">
        <v>10245235000</v>
      </c>
      <c r="N67" s="16">
        <v>584473.4399999999</v>
      </c>
      <c r="O67" s="17">
        <v>0.049369</v>
      </c>
    </row>
    <row r="68" spans="1:15">
      <c r="A68" t="s">
        <v>40</v>
      </c>
      <c r="B68" t="s">
        <v>41</v>
      </c>
      <c r="C68" t="s">
        <v>17</v>
      </c>
      <c r="D68" t="s">
        <v>39</v>
      </c>
      <c r="E68">
        <v>2020</v>
      </c>
      <c r="F68" s="15">
        <v>9514</v>
      </c>
      <c r="G68" s="16">
        <v>6012110000</v>
      </c>
      <c r="H68" s="15">
        <v>17146</v>
      </c>
      <c r="I68" s="16">
        <v>9107620000</v>
      </c>
      <c r="J68" s="15">
        <v>4410</v>
      </c>
      <c r="K68" s="16">
        <v>2200350000</v>
      </c>
      <c r="L68" s="15">
        <v>31070</v>
      </c>
      <c r="M68" s="16">
        <v>17320080000</v>
      </c>
      <c r="N68" s="16">
        <v>557453.49</v>
      </c>
      <c r="O68" s="17">
        <v>0.034729</v>
      </c>
    </row>
    <row r="69" spans="1:15">
      <c r="A69" t="s">
        <v>40</v>
      </c>
      <c r="B69" t="s">
        <v>41</v>
      </c>
      <c r="C69" t="s">
        <v>17</v>
      </c>
      <c r="D69" t="s">
        <v>39</v>
      </c>
      <c r="E69">
        <v>2021</v>
      </c>
      <c r="F69" s="15">
        <v>10534</v>
      </c>
      <c r="G69" s="16">
        <v>6959750000</v>
      </c>
      <c r="H69" s="15">
        <v>13991</v>
      </c>
      <c r="I69" s="16">
        <v>7655795000</v>
      </c>
      <c r="J69" s="15">
        <v>5687</v>
      </c>
      <c r="K69" s="16">
        <v>2841455000</v>
      </c>
      <c r="L69" s="15">
        <v>30212</v>
      </c>
      <c r="M69" s="16">
        <v>17457000000</v>
      </c>
      <c r="N69" s="16">
        <v>577816.76</v>
      </c>
      <c r="O69" s="17">
        <v>0.062777</v>
      </c>
    </row>
    <row r="70" spans="1:15">
      <c r="A70" t="s">
        <v>40</v>
      </c>
      <c r="B70" t="s">
        <v>41</v>
      </c>
      <c r="C70" t="s">
        <v>17</v>
      </c>
      <c r="D70" t="s">
        <v>39</v>
      </c>
      <c r="E70">
        <v>2022</v>
      </c>
      <c r="F70" s="15">
        <v>8104</v>
      </c>
      <c r="G70" s="16">
        <v>5950860000</v>
      </c>
      <c r="H70" s="15">
        <v>1880</v>
      </c>
      <c r="I70" s="16">
        <v>1987590000</v>
      </c>
      <c r="J70" s="15">
        <v>2389</v>
      </c>
      <c r="K70" s="16">
        <v>1445895000</v>
      </c>
      <c r="L70" s="15">
        <v>12373</v>
      </c>
      <c r="M70" s="16">
        <v>9384345000</v>
      </c>
      <c r="N70" s="16">
        <v>758453.49</v>
      </c>
      <c r="O70" s="17">
        <v>-0.041901</v>
      </c>
    </row>
    <row r="71" spans="1:15">
      <c r="A71" t="s">
        <v>40</v>
      </c>
      <c r="B71" t="s">
        <v>41</v>
      </c>
      <c r="C71" t="s">
        <v>17</v>
      </c>
      <c r="D71" t="s">
        <v>39</v>
      </c>
      <c r="E71">
        <v>2023</v>
      </c>
      <c r="F71" s="15">
        <v>5959</v>
      </c>
      <c r="G71" s="16">
        <v>4005085000</v>
      </c>
      <c r="H71" s="15">
        <v>574</v>
      </c>
      <c r="I71" s="16">
        <v>1343530000</v>
      </c>
      <c r="J71" s="15">
        <v>815</v>
      </c>
      <c r="K71" s="16">
        <v>375175000</v>
      </c>
      <c r="L71" s="15">
        <v>7348</v>
      </c>
      <c r="M71" s="16">
        <v>5723790000</v>
      </c>
      <c r="N71" s="16">
        <v>778958.9</v>
      </c>
      <c r="O71" s="17">
        <v>0.019263</v>
      </c>
    </row>
    <row r="72" spans="1:15">
      <c r="A72" t="s">
        <v>40</v>
      </c>
      <c r="B72" t="s">
        <v>41</v>
      </c>
      <c r="C72" t="s">
        <v>17</v>
      </c>
      <c r="D72" t="s">
        <v>39</v>
      </c>
      <c r="E72">
        <v>2024</v>
      </c>
      <c r="F72" s="15">
        <v>5466</v>
      </c>
      <c r="G72" s="16">
        <v>4054360000</v>
      </c>
      <c r="H72" s="15">
        <v>926</v>
      </c>
      <c r="I72" s="16">
        <v>1013360000</v>
      </c>
      <c r="J72" s="15">
        <v>888</v>
      </c>
      <c r="K72" s="16">
        <v>491770000</v>
      </c>
      <c r="L72" s="15">
        <v>7280</v>
      </c>
      <c r="M72" s="16">
        <v>5559490000</v>
      </c>
      <c r="N72" s="16">
        <v>763666.21</v>
      </c>
      <c r="O72" s="17">
        <v>0.02895</v>
      </c>
    </row>
    <row r="73" spans="1:15">
      <c r="A73" t="s">
        <v>40</v>
      </c>
      <c r="B73" t="s">
        <v>41</v>
      </c>
      <c r="C73" t="s">
        <v>17</v>
      </c>
      <c r="D73" t="s">
        <v>39</v>
      </c>
      <c r="E73">
        <v>2025</v>
      </c>
      <c r="F73" s="15">
        <v>5474</v>
      </c>
      <c r="G73" s="16">
        <v>3956760000</v>
      </c>
      <c r="H73" s="15">
        <v>1481</v>
      </c>
      <c r="I73" s="16">
        <v>1933805000</v>
      </c>
      <c r="J73" s="15">
        <v>1093</v>
      </c>
      <c r="K73" s="16">
        <v>677995000</v>
      </c>
      <c r="L73" s="15">
        <v>8048</v>
      </c>
      <c r="M73" s="16">
        <v>6568560000</v>
      </c>
      <c r="N73" s="16">
        <v>816172.96</v>
      </c>
      <c r="O73" s="17">
        <v>-0.010255</v>
      </c>
    </row>
    <row r="74" spans="1:15">
      <c r="A74" t="s">
        <v>42</v>
      </c>
      <c r="B74" t="s">
        <v>43</v>
      </c>
      <c r="C74" t="s">
        <v>17</v>
      </c>
      <c r="D74" t="s">
        <v>39</v>
      </c>
      <c r="E74">
        <v>2018</v>
      </c>
      <c r="F74" s="15">
        <v>343501</v>
      </c>
      <c r="G74" s="16">
        <v>91962425000</v>
      </c>
      <c r="H74" s="15">
        <v>51903</v>
      </c>
      <c r="I74" s="16">
        <v>16442725000</v>
      </c>
      <c r="J74" s="15">
        <v>76795</v>
      </c>
      <c r="K74" s="16">
        <v>16276095000</v>
      </c>
      <c r="L74" s="15">
        <v>472199</v>
      </c>
      <c r="M74" s="16">
        <v>124681245000</v>
      </c>
      <c r="N74" s="16">
        <v>264043.86</v>
      </c>
      <c r="O74" s="17">
        <v>0.069383</v>
      </c>
    </row>
    <row r="75" spans="1:15">
      <c r="A75" t="s">
        <v>42</v>
      </c>
      <c r="B75" t="s">
        <v>43</v>
      </c>
      <c r="C75" t="s">
        <v>17</v>
      </c>
      <c r="D75" t="s">
        <v>39</v>
      </c>
      <c r="E75">
        <v>2019</v>
      </c>
      <c r="F75" s="15">
        <v>365858</v>
      </c>
      <c r="G75" s="16">
        <v>101209670000</v>
      </c>
      <c r="H75" s="15">
        <v>104791</v>
      </c>
      <c r="I75" s="16">
        <v>32214735000</v>
      </c>
      <c r="J75" s="15">
        <v>89470</v>
      </c>
      <c r="K75" s="16">
        <v>21387990000</v>
      </c>
      <c r="L75" s="15">
        <v>560119</v>
      </c>
      <c r="M75" s="16">
        <v>154812395000</v>
      </c>
      <c r="N75" s="16">
        <v>276391.97</v>
      </c>
      <c r="O75" s="17">
        <v>0.061315</v>
      </c>
    </row>
    <row r="76" spans="1:15">
      <c r="A76" t="s">
        <v>42</v>
      </c>
      <c r="B76" t="s">
        <v>43</v>
      </c>
      <c r="C76" t="s">
        <v>17</v>
      </c>
      <c r="D76" t="s">
        <v>39</v>
      </c>
      <c r="E76">
        <v>2020</v>
      </c>
      <c r="F76" s="15">
        <v>403500</v>
      </c>
      <c r="G76" s="16">
        <v>119833750000</v>
      </c>
      <c r="H76" s="15">
        <v>332646</v>
      </c>
      <c r="I76" s="16">
        <v>93541520000</v>
      </c>
      <c r="J76" s="15">
        <v>120048</v>
      </c>
      <c r="K76" s="16">
        <v>30559210000</v>
      </c>
      <c r="L76" s="15">
        <v>856194</v>
      </c>
      <c r="M76" s="16">
        <v>243934480000</v>
      </c>
      <c r="N76" s="16">
        <v>284905.62</v>
      </c>
      <c r="O76" s="17">
        <v>0.118657</v>
      </c>
    </row>
    <row r="77" spans="1:15">
      <c r="A77" t="s">
        <v>42</v>
      </c>
      <c r="B77" t="s">
        <v>43</v>
      </c>
      <c r="C77" t="s">
        <v>17</v>
      </c>
      <c r="D77" t="s">
        <v>39</v>
      </c>
      <c r="E77">
        <v>2021</v>
      </c>
      <c r="F77" s="15">
        <v>460660</v>
      </c>
      <c r="G77" s="16">
        <v>164769700000</v>
      </c>
      <c r="H77" s="15">
        <v>314242</v>
      </c>
      <c r="I77" s="16">
        <v>85997280000</v>
      </c>
      <c r="J77" s="15">
        <v>195107</v>
      </c>
      <c r="K77" s="16">
        <v>52324665000</v>
      </c>
      <c r="L77" s="15">
        <v>970009</v>
      </c>
      <c r="M77" s="16">
        <v>303091645000</v>
      </c>
      <c r="N77" s="16">
        <v>312462.71</v>
      </c>
      <c r="O77" s="17">
        <v>0.255416</v>
      </c>
    </row>
    <row r="78" spans="1:15">
      <c r="A78" t="s">
        <v>42</v>
      </c>
      <c r="B78" t="s">
        <v>43</v>
      </c>
      <c r="C78" t="s">
        <v>17</v>
      </c>
      <c r="D78" t="s">
        <v>39</v>
      </c>
      <c r="E78">
        <v>2022</v>
      </c>
      <c r="F78" s="15">
        <v>362026</v>
      </c>
      <c r="G78" s="16">
        <v>145103700000</v>
      </c>
      <c r="H78" s="15">
        <v>62524</v>
      </c>
      <c r="I78" s="16">
        <v>23918100000</v>
      </c>
      <c r="J78" s="15">
        <v>133394</v>
      </c>
      <c r="K78" s="16">
        <v>40067630000</v>
      </c>
      <c r="L78" s="15">
        <v>557944</v>
      </c>
      <c r="M78" s="16">
        <v>209089430000</v>
      </c>
      <c r="N78" s="16">
        <v>374749.85</v>
      </c>
      <c r="O78" s="17">
        <v>0.130702</v>
      </c>
    </row>
    <row r="79" spans="1:15">
      <c r="A79" t="s">
        <v>42</v>
      </c>
      <c r="B79" t="s">
        <v>43</v>
      </c>
      <c r="C79" t="s">
        <v>17</v>
      </c>
      <c r="D79" t="s">
        <v>39</v>
      </c>
      <c r="E79">
        <v>2023</v>
      </c>
      <c r="F79" s="15">
        <v>308082</v>
      </c>
      <c r="G79" s="16">
        <v>118248580000</v>
      </c>
      <c r="H79" s="15">
        <v>20427</v>
      </c>
      <c r="I79" s="16">
        <v>12577935000</v>
      </c>
      <c r="J79" s="15">
        <v>56354</v>
      </c>
      <c r="K79" s="16">
        <v>14569650000</v>
      </c>
      <c r="L79" s="15">
        <v>384863</v>
      </c>
      <c r="M79" s="16">
        <v>145396165000</v>
      </c>
      <c r="N79" s="16">
        <v>377786.81</v>
      </c>
      <c r="O79" s="17">
        <v>0.062616</v>
      </c>
    </row>
    <row r="80" spans="1:15">
      <c r="A80" t="s">
        <v>42</v>
      </c>
      <c r="B80" t="s">
        <v>43</v>
      </c>
      <c r="C80" t="s">
        <v>17</v>
      </c>
      <c r="D80" t="s">
        <v>39</v>
      </c>
      <c r="E80">
        <v>2024</v>
      </c>
      <c r="F80" s="15">
        <v>299894</v>
      </c>
      <c r="G80" s="16">
        <v>120232870000</v>
      </c>
      <c r="H80" s="15">
        <v>35203</v>
      </c>
      <c r="I80" s="16">
        <v>18213075000</v>
      </c>
      <c r="J80" s="15">
        <v>62762</v>
      </c>
      <c r="K80" s="16">
        <v>20194380000</v>
      </c>
      <c r="L80" s="15">
        <v>397859</v>
      </c>
      <c r="M80" s="16">
        <v>158640325000</v>
      </c>
      <c r="N80" s="16">
        <v>398735.04</v>
      </c>
      <c r="O80" s="17">
        <v>0.020871</v>
      </c>
    </row>
    <row r="81" spans="1:15">
      <c r="A81" t="s">
        <v>42</v>
      </c>
      <c r="B81" t="s">
        <v>43</v>
      </c>
      <c r="C81" t="s">
        <v>17</v>
      </c>
      <c r="D81" t="s">
        <v>39</v>
      </c>
      <c r="E81">
        <v>2025</v>
      </c>
      <c r="F81" s="15">
        <v>292562</v>
      </c>
      <c r="G81" s="16">
        <v>121724820000</v>
      </c>
      <c r="H81" s="15">
        <v>50453</v>
      </c>
      <c r="I81" s="16">
        <v>27412455000</v>
      </c>
      <c r="J81" s="15">
        <v>68738</v>
      </c>
      <c r="K81" s="16">
        <v>20057410000</v>
      </c>
      <c r="L81" s="15">
        <v>411753</v>
      </c>
      <c r="M81" s="16">
        <v>169194685000</v>
      </c>
      <c r="N81" s="16">
        <v>410913.06</v>
      </c>
      <c r="O81" s="17">
        <v>-0.022847</v>
      </c>
    </row>
    <row r="82" spans="1:15">
      <c r="A82" t="s">
        <v>44</v>
      </c>
      <c r="B82" t="s">
        <v>45</v>
      </c>
      <c r="C82" t="s">
        <v>17</v>
      </c>
      <c r="D82" t="s">
        <v>39</v>
      </c>
      <c r="E82">
        <v>2018</v>
      </c>
      <c r="F82" s="15">
        <v>157030</v>
      </c>
      <c r="G82" s="16">
        <v>39590920000</v>
      </c>
      <c r="H82" s="15">
        <v>33768</v>
      </c>
      <c r="I82" s="16">
        <v>8137040000</v>
      </c>
      <c r="J82" s="15">
        <v>36804</v>
      </c>
      <c r="K82" s="16">
        <v>7303140000</v>
      </c>
      <c r="L82" s="15">
        <v>227602</v>
      </c>
      <c r="M82" s="16">
        <v>55031100000</v>
      </c>
      <c r="N82" s="16">
        <v>241786.54</v>
      </c>
      <c r="O82" s="17">
        <v>0.07463</v>
      </c>
    </row>
    <row r="83" spans="1:15">
      <c r="A83" t="s">
        <v>44</v>
      </c>
      <c r="B83" t="s">
        <v>45</v>
      </c>
      <c r="C83" t="s">
        <v>17</v>
      </c>
      <c r="D83" t="s">
        <v>39</v>
      </c>
      <c r="E83">
        <v>2019</v>
      </c>
      <c r="F83" s="15">
        <v>163416</v>
      </c>
      <c r="G83" s="16">
        <v>42456610000</v>
      </c>
      <c r="H83" s="15">
        <v>63931</v>
      </c>
      <c r="I83" s="16">
        <v>17555725000</v>
      </c>
      <c r="J83" s="15">
        <v>46173</v>
      </c>
      <c r="K83" s="16">
        <v>10334695000</v>
      </c>
      <c r="L83" s="15">
        <v>273520</v>
      </c>
      <c r="M83" s="16">
        <v>70347030000</v>
      </c>
      <c r="N83" s="16">
        <v>257191.54</v>
      </c>
      <c r="O83" s="17">
        <v>0.066356</v>
      </c>
    </row>
    <row r="84" spans="1:15">
      <c r="A84" t="s">
        <v>44</v>
      </c>
      <c r="B84" t="s">
        <v>45</v>
      </c>
      <c r="C84" t="s">
        <v>17</v>
      </c>
      <c r="D84" t="s">
        <v>39</v>
      </c>
      <c r="E84">
        <v>2020</v>
      </c>
      <c r="F84" s="15">
        <v>181233</v>
      </c>
      <c r="G84" s="16">
        <v>50514165000</v>
      </c>
      <c r="H84" s="15">
        <v>190470</v>
      </c>
      <c r="I84" s="16">
        <v>51641770000</v>
      </c>
      <c r="J84" s="15">
        <v>59535</v>
      </c>
      <c r="K84" s="16">
        <v>15073815000</v>
      </c>
      <c r="L84" s="15">
        <v>431238</v>
      </c>
      <c r="M84" s="16">
        <v>117229750000</v>
      </c>
      <c r="N84" s="16">
        <v>271844.67</v>
      </c>
      <c r="O84" s="17">
        <v>0.116115</v>
      </c>
    </row>
    <row r="85" spans="1:15">
      <c r="A85" t="s">
        <v>44</v>
      </c>
      <c r="B85" t="s">
        <v>45</v>
      </c>
      <c r="C85" t="s">
        <v>17</v>
      </c>
      <c r="D85" t="s">
        <v>39</v>
      </c>
      <c r="E85">
        <v>2021</v>
      </c>
      <c r="F85" s="15">
        <v>194990</v>
      </c>
      <c r="G85" s="16">
        <v>62148240000</v>
      </c>
      <c r="H85" s="15">
        <v>170994</v>
      </c>
      <c r="I85" s="16">
        <v>44240800000</v>
      </c>
      <c r="J85" s="15">
        <v>94523</v>
      </c>
      <c r="K85" s="16">
        <v>23322865000</v>
      </c>
      <c r="L85" s="15">
        <v>460507</v>
      </c>
      <c r="M85" s="16">
        <v>129711905000</v>
      </c>
      <c r="N85" s="16">
        <v>281671.95</v>
      </c>
      <c r="O85" s="17">
        <v>0.205864</v>
      </c>
    </row>
    <row r="86" spans="1:15">
      <c r="A86" t="s">
        <v>44</v>
      </c>
      <c r="B86" t="s">
        <v>45</v>
      </c>
      <c r="C86" t="s">
        <v>17</v>
      </c>
      <c r="D86" t="s">
        <v>39</v>
      </c>
      <c r="E86">
        <v>2022</v>
      </c>
      <c r="F86" s="15">
        <v>158323</v>
      </c>
      <c r="G86" s="16">
        <v>57474225000</v>
      </c>
      <c r="H86" s="15">
        <v>31009</v>
      </c>
      <c r="I86" s="16">
        <v>10023995000</v>
      </c>
      <c r="J86" s="15">
        <v>64559</v>
      </c>
      <c r="K86" s="16">
        <v>16597025000</v>
      </c>
      <c r="L86" s="15">
        <v>253891</v>
      </c>
      <c r="M86" s="16">
        <v>84095245000</v>
      </c>
      <c r="N86" s="16">
        <v>331225.78</v>
      </c>
      <c r="O86" s="17">
        <v>0.111059</v>
      </c>
    </row>
    <row r="87" spans="1:15">
      <c r="A87" t="s">
        <v>44</v>
      </c>
      <c r="B87" t="s">
        <v>45</v>
      </c>
      <c r="C87" t="s">
        <v>17</v>
      </c>
      <c r="D87" t="s">
        <v>39</v>
      </c>
      <c r="E87">
        <v>2023</v>
      </c>
      <c r="F87" s="15">
        <v>127448</v>
      </c>
      <c r="G87" s="16">
        <v>44534400000</v>
      </c>
      <c r="H87" s="15">
        <v>14581</v>
      </c>
      <c r="I87" s="16">
        <v>5683305000</v>
      </c>
      <c r="J87" s="15">
        <v>30786</v>
      </c>
      <c r="K87" s="16">
        <v>7288610000</v>
      </c>
      <c r="L87" s="15">
        <v>172815</v>
      </c>
      <c r="M87" s="16">
        <v>57506315000</v>
      </c>
      <c r="N87" s="16">
        <v>332762.29</v>
      </c>
      <c r="O87" s="17">
        <v>0.06450500000000001</v>
      </c>
    </row>
    <row r="88" spans="1:15">
      <c r="A88" t="s">
        <v>44</v>
      </c>
      <c r="B88" t="s">
        <v>45</v>
      </c>
      <c r="C88" t="s">
        <v>17</v>
      </c>
      <c r="D88" t="s">
        <v>39</v>
      </c>
      <c r="E88">
        <v>2024</v>
      </c>
      <c r="F88" s="15">
        <v>129866</v>
      </c>
      <c r="G88" s="16">
        <v>47276220000</v>
      </c>
      <c r="H88" s="15">
        <v>25555</v>
      </c>
      <c r="I88" s="16">
        <v>10447275000</v>
      </c>
      <c r="J88" s="15">
        <v>34197</v>
      </c>
      <c r="K88" s="16">
        <v>8777605000</v>
      </c>
      <c r="L88" s="15">
        <v>189618</v>
      </c>
      <c r="M88" s="16">
        <v>66501100000</v>
      </c>
      <c r="N88" s="16">
        <v>350710.9</v>
      </c>
      <c r="O88" s="17">
        <v>0.048148</v>
      </c>
    </row>
    <row r="89" spans="1:15">
      <c r="A89" t="s">
        <v>44</v>
      </c>
      <c r="B89" t="s">
        <v>45</v>
      </c>
      <c r="C89" t="s">
        <v>17</v>
      </c>
      <c r="D89" t="s">
        <v>39</v>
      </c>
      <c r="E89">
        <v>2025</v>
      </c>
      <c r="F89" s="15">
        <v>129478</v>
      </c>
      <c r="G89" s="16">
        <v>48036590000</v>
      </c>
      <c r="H89" s="15">
        <v>36462</v>
      </c>
      <c r="I89" s="16">
        <v>16637300000</v>
      </c>
      <c r="J89" s="15">
        <v>38650</v>
      </c>
      <c r="K89" s="16">
        <v>9714990000</v>
      </c>
      <c r="L89" s="15">
        <v>204590</v>
      </c>
      <c r="M89" s="16">
        <v>74388880000</v>
      </c>
      <c r="N89" s="16">
        <v>363599.78</v>
      </c>
      <c r="O89" s="17">
        <v>-0.000119</v>
      </c>
    </row>
    <row r="90" spans="1:15">
      <c r="A90" t="s">
        <v>46</v>
      </c>
      <c r="B90" t="s">
        <v>47</v>
      </c>
      <c r="C90" t="s">
        <v>21</v>
      </c>
      <c r="D90" t="s">
        <v>22</v>
      </c>
      <c r="E90">
        <v>2018</v>
      </c>
      <c r="F90" s="15">
        <v>13947</v>
      </c>
      <c r="G90" s="16">
        <v>7098625000</v>
      </c>
      <c r="H90" s="15">
        <v>5608</v>
      </c>
      <c r="I90" s="16">
        <v>2078250000</v>
      </c>
      <c r="J90" s="15">
        <v>4741</v>
      </c>
      <c r="K90" s="16">
        <v>2092385000</v>
      </c>
      <c r="L90" s="15">
        <v>24296</v>
      </c>
      <c r="M90" s="16">
        <v>11269260000</v>
      </c>
      <c r="N90" s="16">
        <v>463831.91</v>
      </c>
      <c r="O90" s="17">
        <v>0.025632</v>
      </c>
    </row>
    <row r="91" spans="1:15">
      <c r="A91" t="s">
        <v>46</v>
      </c>
      <c r="B91" t="s">
        <v>47</v>
      </c>
      <c r="C91" t="s">
        <v>21</v>
      </c>
      <c r="D91" t="s">
        <v>22</v>
      </c>
      <c r="E91">
        <v>2019</v>
      </c>
      <c r="F91" s="15">
        <v>13885</v>
      </c>
      <c r="G91" s="16">
        <v>7286355000</v>
      </c>
      <c r="H91" s="15">
        <v>11146</v>
      </c>
      <c r="I91" s="16">
        <v>5479330000</v>
      </c>
      <c r="J91" s="15">
        <v>6105</v>
      </c>
      <c r="K91" s="16">
        <v>2898035000</v>
      </c>
      <c r="L91" s="15">
        <v>31136</v>
      </c>
      <c r="M91" s="16">
        <v>15663720000</v>
      </c>
      <c r="N91" s="16">
        <v>503074.25</v>
      </c>
      <c r="O91" s="17">
        <v>0.037944</v>
      </c>
    </row>
    <row r="92" spans="1:15">
      <c r="A92" t="s">
        <v>46</v>
      </c>
      <c r="B92" t="s">
        <v>47</v>
      </c>
      <c r="C92" t="s">
        <v>21</v>
      </c>
      <c r="D92" t="s">
        <v>22</v>
      </c>
      <c r="E92">
        <v>2020</v>
      </c>
      <c r="F92" s="15">
        <v>13242</v>
      </c>
      <c r="G92" s="16">
        <v>7443620000</v>
      </c>
      <c r="H92" s="15">
        <v>30436</v>
      </c>
      <c r="I92" s="16">
        <v>14722110000</v>
      </c>
      <c r="J92" s="15">
        <v>10639</v>
      </c>
      <c r="K92" s="16">
        <v>5196925000</v>
      </c>
      <c r="L92" s="15">
        <v>54317</v>
      </c>
      <c r="M92" s="16">
        <v>27362655000</v>
      </c>
      <c r="N92" s="16">
        <v>503758.58</v>
      </c>
      <c r="O92" s="17">
        <v>0.064385</v>
      </c>
    </row>
    <row r="93" spans="1:15">
      <c r="A93" t="s">
        <v>46</v>
      </c>
      <c r="B93" t="s">
        <v>47</v>
      </c>
      <c r="C93" t="s">
        <v>21</v>
      </c>
      <c r="D93" t="s">
        <v>22</v>
      </c>
      <c r="E93">
        <v>2021</v>
      </c>
      <c r="F93" s="15">
        <v>18137</v>
      </c>
      <c r="G93" s="16">
        <v>11391275000</v>
      </c>
      <c r="H93" s="15">
        <v>26001</v>
      </c>
      <c r="I93" s="16">
        <v>11852045000</v>
      </c>
      <c r="J93" s="15">
        <v>12471</v>
      </c>
      <c r="K93" s="16">
        <v>6307645000</v>
      </c>
      <c r="L93" s="15">
        <v>56609</v>
      </c>
      <c r="M93" s="16">
        <v>29550965000</v>
      </c>
      <c r="N93" s="16">
        <v>522018.85</v>
      </c>
      <c r="O93" s="17">
        <v>0.206107</v>
      </c>
    </row>
    <row r="94" spans="1:15">
      <c r="A94" t="s">
        <v>46</v>
      </c>
      <c r="B94" t="s">
        <v>47</v>
      </c>
      <c r="C94" t="s">
        <v>21</v>
      </c>
      <c r="D94" t="s">
        <v>22</v>
      </c>
      <c r="E94">
        <v>2022</v>
      </c>
      <c r="F94" s="15">
        <v>13325</v>
      </c>
      <c r="G94" s="16">
        <v>9037415000</v>
      </c>
      <c r="H94" s="15">
        <v>6549</v>
      </c>
      <c r="I94" s="16">
        <v>3172545000</v>
      </c>
      <c r="J94" s="15">
        <v>4814</v>
      </c>
      <c r="K94" s="16">
        <v>2630920000</v>
      </c>
      <c r="L94" s="15">
        <v>24688</v>
      </c>
      <c r="M94" s="16">
        <v>14840880000</v>
      </c>
      <c r="N94" s="16">
        <v>601137.39</v>
      </c>
      <c r="O94" s="17">
        <v>0.156991</v>
      </c>
    </row>
    <row r="95" spans="1:15">
      <c r="A95" t="s">
        <v>46</v>
      </c>
      <c r="B95" t="s">
        <v>47</v>
      </c>
      <c r="C95" t="s">
        <v>21</v>
      </c>
      <c r="D95" t="s">
        <v>22</v>
      </c>
      <c r="E95">
        <v>2023</v>
      </c>
      <c r="F95" s="15">
        <v>8668</v>
      </c>
      <c r="G95" s="16">
        <v>6194060000</v>
      </c>
      <c r="H95" s="15">
        <v>2205</v>
      </c>
      <c r="I95" s="16">
        <v>960715000</v>
      </c>
      <c r="J95" s="15">
        <v>1340</v>
      </c>
      <c r="K95" s="16">
        <v>682810000</v>
      </c>
      <c r="L95" s="15">
        <v>12213</v>
      </c>
      <c r="M95" s="16">
        <v>7837585000</v>
      </c>
      <c r="N95" s="16">
        <v>641741.1800000001</v>
      </c>
      <c r="O95" s="17">
        <v>-0.035076</v>
      </c>
    </row>
    <row r="96" spans="1:15">
      <c r="A96" t="s">
        <v>46</v>
      </c>
      <c r="B96" t="s">
        <v>47</v>
      </c>
      <c r="C96" t="s">
        <v>21</v>
      </c>
      <c r="D96" t="s">
        <v>22</v>
      </c>
      <c r="E96">
        <v>2024</v>
      </c>
      <c r="F96" s="15">
        <v>8980</v>
      </c>
      <c r="G96" s="16">
        <v>6412200000</v>
      </c>
      <c r="H96" s="15">
        <v>2436</v>
      </c>
      <c r="I96" s="16">
        <v>1268660000</v>
      </c>
      <c r="J96" s="15">
        <v>1715</v>
      </c>
      <c r="K96" s="16">
        <v>836405000</v>
      </c>
      <c r="L96" s="15">
        <v>13131</v>
      </c>
      <c r="M96" s="16">
        <v>8517265000</v>
      </c>
      <c r="N96" s="16">
        <v>648637.96</v>
      </c>
      <c r="O96" s="17">
        <v>0.030448</v>
      </c>
    </row>
    <row r="97" spans="1:15">
      <c r="A97" t="s">
        <v>46</v>
      </c>
      <c r="B97" t="s">
        <v>47</v>
      </c>
      <c r="C97" t="s">
        <v>21</v>
      </c>
      <c r="D97" t="s">
        <v>22</v>
      </c>
      <c r="E97">
        <v>2025</v>
      </c>
      <c r="F97" s="15">
        <v>9935</v>
      </c>
      <c r="G97" s="16">
        <v>6901155000</v>
      </c>
      <c r="H97" s="15">
        <v>4032</v>
      </c>
      <c r="I97" s="16">
        <v>3004980000</v>
      </c>
      <c r="J97" s="15">
        <v>2143</v>
      </c>
      <c r="K97" s="16">
        <v>1110025000</v>
      </c>
      <c r="L97" s="15">
        <v>16110</v>
      </c>
      <c r="M97" s="16">
        <v>11016160000</v>
      </c>
      <c r="N97" s="16">
        <v>683808.8100000001</v>
      </c>
      <c r="O97" s="17">
        <v>0.004199</v>
      </c>
    </row>
    <row r="98" spans="1:15">
      <c r="A98" t="s">
        <v>48</v>
      </c>
      <c r="B98" t="s">
        <v>49</v>
      </c>
      <c r="C98" t="s">
        <v>21</v>
      </c>
      <c r="D98" t="s">
        <v>25</v>
      </c>
      <c r="E98">
        <v>2018</v>
      </c>
      <c r="F98" s="15">
        <v>37630</v>
      </c>
      <c r="G98" s="16">
        <v>8542760000</v>
      </c>
      <c r="H98" s="15">
        <v>6633</v>
      </c>
      <c r="I98" s="16">
        <v>1323625000</v>
      </c>
      <c r="J98" s="15">
        <v>10071</v>
      </c>
      <c r="K98" s="16">
        <v>1938645000</v>
      </c>
      <c r="L98" s="15">
        <v>54334</v>
      </c>
      <c r="M98" s="16">
        <v>11805030000</v>
      </c>
      <c r="N98" s="16">
        <v>217267.82</v>
      </c>
      <c r="O98" s="17">
        <v>0.123137</v>
      </c>
    </row>
    <row r="99" spans="1:15">
      <c r="A99" t="s">
        <v>48</v>
      </c>
      <c r="B99" t="s">
        <v>49</v>
      </c>
      <c r="C99" t="s">
        <v>21</v>
      </c>
      <c r="D99" t="s">
        <v>25</v>
      </c>
      <c r="E99">
        <v>2019</v>
      </c>
      <c r="F99" s="15">
        <v>39075</v>
      </c>
      <c r="G99" s="16">
        <v>9593085000</v>
      </c>
      <c r="H99" s="15">
        <v>15359</v>
      </c>
      <c r="I99" s="16">
        <v>3837235000</v>
      </c>
      <c r="J99" s="15">
        <v>19925</v>
      </c>
      <c r="K99" s="16">
        <v>3916515000</v>
      </c>
      <c r="L99" s="15">
        <v>74359</v>
      </c>
      <c r="M99" s="16">
        <v>17346835000</v>
      </c>
      <c r="N99" s="16">
        <v>233284.94</v>
      </c>
      <c r="O99" s="17">
        <v>0.130599</v>
      </c>
    </row>
    <row r="100" spans="1:15">
      <c r="A100" t="s">
        <v>48</v>
      </c>
      <c r="B100" t="s">
        <v>49</v>
      </c>
      <c r="C100" t="s">
        <v>21</v>
      </c>
      <c r="D100" t="s">
        <v>25</v>
      </c>
      <c r="E100">
        <v>2020</v>
      </c>
      <c r="F100" s="15">
        <v>43149</v>
      </c>
      <c r="G100" s="16">
        <v>12156985000</v>
      </c>
      <c r="H100" s="15">
        <v>45028</v>
      </c>
      <c r="I100" s="16">
        <v>11420970000</v>
      </c>
      <c r="J100" s="15">
        <v>29210</v>
      </c>
      <c r="K100" s="16">
        <v>6598560000</v>
      </c>
      <c r="L100" s="15">
        <v>117387</v>
      </c>
      <c r="M100" s="16">
        <v>30176515000</v>
      </c>
      <c r="N100" s="16">
        <v>257068.63</v>
      </c>
      <c r="O100" s="17">
        <v>0.202348</v>
      </c>
    </row>
    <row r="101" spans="1:15">
      <c r="A101" t="s">
        <v>48</v>
      </c>
      <c r="B101" t="s">
        <v>49</v>
      </c>
      <c r="C101" t="s">
        <v>21</v>
      </c>
      <c r="D101" t="s">
        <v>25</v>
      </c>
      <c r="E101">
        <v>2021</v>
      </c>
      <c r="F101" s="15">
        <v>39832</v>
      </c>
      <c r="G101" s="16">
        <v>14274390000</v>
      </c>
      <c r="H101" s="15">
        <v>35823</v>
      </c>
      <c r="I101" s="16">
        <v>9300075000</v>
      </c>
      <c r="J101" s="15">
        <v>41755</v>
      </c>
      <c r="K101" s="16">
        <v>11167055000</v>
      </c>
      <c r="L101" s="15">
        <v>117410</v>
      </c>
      <c r="M101" s="16">
        <v>34741520000</v>
      </c>
      <c r="N101" s="16">
        <v>295899.16</v>
      </c>
      <c r="O101" s="17">
        <v>0.275594</v>
      </c>
    </row>
    <row r="102" spans="1:15">
      <c r="A102" t="s">
        <v>48</v>
      </c>
      <c r="B102" t="s">
        <v>49</v>
      </c>
      <c r="C102" t="s">
        <v>21</v>
      </c>
      <c r="D102" t="s">
        <v>25</v>
      </c>
      <c r="E102">
        <v>2022</v>
      </c>
      <c r="F102" s="15">
        <v>30333</v>
      </c>
      <c r="G102" s="16">
        <v>12540345000</v>
      </c>
      <c r="H102" s="15">
        <v>7154</v>
      </c>
      <c r="I102" s="16">
        <v>2573780000</v>
      </c>
      <c r="J102" s="15">
        <v>17818</v>
      </c>
      <c r="K102" s="16">
        <v>4725320000</v>
      </c>
      <c r="L102" s="15">
        <v>55305</v>
      </c>
      <c r="M102" s="16">
        <v>19839445000</v>
      </c>
      <c r="N102" s="16">
        <v>358727.87</v>
      </c>
      <c r="O102" s="17">
        <v>0.02263</v>
      </c>
    </row>
    <row r="103" spans="1:15">
      <c r="A103" t="s">
        <v>48</v>
      </c>
      <c r="B103" t="s">
        <v>49</v>
      </c>
      <c r="C103" t="s">
        <v>21</v>
      </c>
      <c r="D103" t="s">
        <v>25</v>
      </c>
      <c r="E103">
        <v>2023</v>
      </c>
      <c r="F103" s="15">
        <v>24341</v>
      </c>
      <c r="G103" s="16">
        <v>9016865000</v>
      </c>
      <c r="H103" s="15">
        <v>2858</v>
      </c>
      <c r="I103" s="16">
        <v>1206600000</v>
      </c>
      <c r="J103" s="15">
        <v>6454</v>
      </c>
      <c r="K103" s="16">
        <v>1403600000</v>
      </c>
      <c r="L103" s="15">
        <v>33653</v>
      </c>
      <c r="M103" s="16">
        <v>11627065000</v>
      </c>
      <c r="N103" s="16">
        <v>345498.62</v>
      </c>
      <c r="O103" s="17">
        <v>0.020462</v>
      </c>
    </row>
    <row r="104" spans="1:15">
      <c r="A104" t="s">
        <v>48</v>
      </c>
      <c r="B104" t="s">
        <v>49</v>
      </c>
      <c r="C104" t="s">
        <v>21</v>
      </c>
      <c r="D104" t="s">
        <v>25</v>
      </c>
      <c r="E104">
        <v>2024</v>
      </c>
      <c r="F104" s="15">
        <v>25840</v>
      </c>
      <c r="G104" s="16">
        <v>9986030000</v>
      </c>
      <c r="H104" s="15">
        <v>4430</v>
      </c>
      <c r="I104" s="16">
        <v>1733400000</v>
      </c>
      <c r="J104" s="15">
        <v>7202</v>
      </c>
      <c r="K104" s="16">
        <v>1954170000</v>
      </c>
      <c r="L104" s="15">
        <v>37472</v>
      </c>
      <c r="M104" s="16">
        <v>13673600000</v>
      </c>
      <c r="N104" s="16">
        <v>364901.79</v>
      </c>
      <c r="O104" s="17">
        <v>0.055138</v>
      </c>
    </row>
    <row r="105" spans="1:15">
      <c r="A105" t="s">
        <v>48</v>
      </c>
      <c r="B105" t="s">
        <v>49</v>
      </c>
      <c r="C105" t="s">
        <v>21</v>
      </c>
      <c r="D105" t="s">
        <v>25</v>
      </c>
      <c r="E105">
        <v>2025</v>
      </c>
      <c r="F105" s="15">
        <v>29211</v>
      </c>
      <c r="G105" s="16">
        <v>11614435000</v>
      </c>
      <c r="H105" s="15">
        <v>6754</v>
      </c>
      <c r="I105" s="16">
        <v>2846950000</v>
      </c>
      <c r="J105" s="15">
        <v>9283</v>
      </c>
      <c r="K105" s="16">
        <v>2294125000</v>
      </c>
      <c r="L105" s="15">
        <v>45248</v>
      </c>
      <c r="M105" s="16">
        <v>16755510000</v>
      </c>
      <c r="N105" s="16">
        <v>370303.88</v>
      </c>
      <c r="O105" s="17">
        <v>-0.008246</v>
      </c>
    </row>
    <row r="106" spans="1:15">
      <c r="A106" t="s">
        <v>50</v>
      </c>
      <c r="B106" t="s">
        <v>51</v>
      </c>
      <c r="C106" t="s">
        <v>52</v>
      </c>
      <c r="D106" t="s">
        <v>53</v>
      </c>
      <c r="E106">
        <v>2018</v>
      </c>
      <c r="F106" s="15">
        <v>154345</v>
      </c>
      <c r="G106" s="16">
        <v>37184465000</v>
      </c>
      <c r="H106" s="15">
        <v>42602</v>
      </c>
      <c r="I106" s="16">
        <v>10975040000</v>
      </c>
      <c r="J106" s="15">
        <v>35101</v>
      </c>
      <c r="K106" s="16">
        <v>7207695000</v>
      </c>
      <c r="L106" s="15">
        <v>232048</v>
      </c>
      <c r="M106" s="16">
        <v>55367200000</v>
      </c>
      <c r="N106" s="16">
        <v>238602.36</v>
      </c>
      <c r="O106" s="17">
        <v>0.023629</v>
      </c>
    </row>
    <row r="107" spans="1:15">
      <c r="A107" t="s">
        <v>50</v>
      </c>
      <c r="B107" t="s">
        <v>51</v>
      </c>
      <c r="C107" t="s">
        <v>52</v>
      </c>
      <c r="D107" t="s">
        <v>53</v>
      </c>
      <c r="E107">
        <v>2019</v>
      </c>
      <c r="F107" s="15">
        <v>154223</v>
      </c>
      <c r="G107" s="16">
        <v>37440515000</v>
      </c>
      <c r="H107" s="15">
        <v>90758</v>
      </c>
      <c r="I107" s="16">
        <v>27884020000</v>
      </c>
      <c r="J107" s="15">
        <v>40794</v>
      </c>
      <c r="K107" s="16">
        <v>9512860000</v>
      </c>
      <c r="L107" s="15">
        <v>285775</v>
      </c>
      <c r="M107" s="16">
        <v>74837395000</v>
      </c>
      <c r="N107" s="16">
        <v>261875.23</v>
      </c>
      <c r="O107" s="17">
        <v>0.030881</v>
      </c>
    </row>
    <row r="108" spans="1:15">
      <c r="A108" t="s">
        <v>50</v>
      </c>
      <c r="B108" t="s">
        <v>51</v>
      </c>
      <c r="C108" t="s">
        <v>52</v>
      </c>
      <c r="D108" t="s">
        <v>53</v>
      </c>
      <c r="E108">
        <v>2020</v>
      </c>
      <c r="F108" s="15">
        <v>172237</v>
      </c>
      <c r="G108" s="16">
        <v>42678495000</v>
      </c>
      <c r="H108" s="15">
        <v>267079</v>
      </c>
      <c r="I108" s="16">
        <v>71940565000</v>
      </c>
      <c r="J108" s="15">
        <v>59201</v>
      </c>
      <c r="K108" s="16">
        <v>14330735000</v>
      </c>
      <c r="L108" s="15">
        <v>498517</v>
      </c>
      <c r="M108" s="16">
        <v>128949795000</v>
      </c>
      <c r="N108" s="16">
        <v>258666.8</v>
      </c>
      <c r="O108" s="17">
        <v>0.08171</v>
      </c>
    </row>
    <row r="109" spans="1:15">
      <c r="A109" t="s">
        <v>50</v>
      </c>
      <c r="B109" t="s">
        <v>51</v>
      </c>
      <c r="C109" t="s">
        <v>52</v>
      </c>
      <c r="D109" t="s">
        <v>53</v>
      </c>
      <c r="E109">
        <v>2021</v>
      </c>
      <c r="F109" s="15">
        <v>199339</v>
      </c>
      <c r="G109" s="16">
        <v>54962475000</v>
      </c>
      <c r="H109" s="15">
        <v>221215</v>
      </c>
      <c r="I109" s="16">
        <v>58797155000</v>
      </c>
      <c r="J109" s="15">
        <v>73345</v>
      </c>
      <c r="K109" s="16">
        <v>17727675000</v>
      </c>
      <c r="L109" s="15">
        <v>493899</v>
      </c>
      <c r="M109" s="16">
        <v>131487305000</v>
      </c>
      <c r="N109" s="16">
        <v>266223.06</v>
      </c>
      <c r="O109" s="17">
        <v>0.119865</v>
      </c>
    </row>
    <row r="110" spans="1:15">
      <c r="A110" t="s">
        <v>50</v>
      </c>
      <c r="B110" t="s">
        <v>51</v>
      </c>
      <c r="C110" t="s">
        <v>52</v>
      </c>
      <c r="D110" t="s">
        <v>53</v>
      </c>
      <c r="E110">
        <v>2022</v>
      </c>
      <c r="F110" s="15">
        <v>160417</v>
      </c>
      <c r="G110" s="16">
        <v>48125945000</v>
      </c>
      <c r="H110" s="15">
        <v>36805</v>
      </c>
      <c r="I110" s="16">
        <v>10909845000</v>
      </c>
      <c r="J110" s="15">
        <v>35386</v>
      </c>
      <c r="K110" s="16">
        <v>9101430000</v>
      </c>
      <c r="L110" s="15">
        <v>232608</v>
      </c>
      <c r="M110" s="16">
        <v>68137220000</v>
      </c>
      <c r="N110" s="16">
        <v>292927.24</v>
      </c>
      <c r="O110" s="17">
        <v>0.068677</v>
      </c>
    </row>
    <row r="111" spans="1:15">
      <c r="A111" t="s">
        <v>50</v>
      </c>
      <c r="B111" t="s">
        <v>51</v>
      </c>
      <c r="C111" t="s">
        <v>52</v>
      </c>
      <c r="D111" t="s">
        <v>53</v>
      </c>
      <c r="E111">
        <v>2023</v>
      </c>
      <c r="F111" s="15">
        <v>128017</v>
      </c>
      <c r="G111" s="16">
        <v>35726575000</v>
      </c>
      <c r="H111" s="15">
        <v>13319</v>
      </c>
      <c r="I111" s="16">
        <v>5496625000</v>
      </c>
      <c r="J111" s="15">
        <v>17505</v>
      </c>
      <c r="K111" s="16">
        <v>3865875000</v>
      </c>
      <c r="L111" s="15">
        <v>158841</v>
      </c>
      <c r="M111" s="16">
        <v>45089075000</v>
      </c>
      <c r="N111" s="16">
        <v>283862.95</v>
      </c>
      <c r="O111" s="17">
        <v>0.08465399999999999</v>
      </c>
    </row>
    <row r="112" spans="1:15">
      <c r="A112" t="s">
        <v>50</v>
      </c>
      <c r="B112" t="s">
        <v>51</v>
      </c>
      <c r="C112" t="s">
        <v>52</v>
      </c>
      <c r="D112" t="s">
        <v>53</v>
      </c>
      <c r="E112">
        <v>2024</v>
      </c>
      <c r="F112" s="15">
        <v>126804</v>
      </c>
      <c r="G112" s="16">
        <v>38190830000</v>
      </c>
      <c r="H112" s="15">
        <v>23798</v>
      </c>
      <c r="I112" s="16">
        <v>9753940000</v>
      </c>
      <c r="J112" s="15">
        <v>22846</v>
      </c>
      <c r="K112" s="16">
        <v>4974170000</v>
      </c>
      <c r="L112" s="15">
        <v>173448</v>
      </c>
      <c r="M112" s="16">
        <v>52918940000</v>
      </c>
      <c r="N112" s="16">
        <v>305099.74</v>
      </c>
      <c r="O112" s="17">
        <v>0.07424500000000001</v>
      </c>
    </row>
    <row r="113" spans="1:15">
      <c r="A113" t="s">
        <v>50</v>
      </c>
      <c r="B113" t="s">
        <v>51</v>
      </c>
      <c r="C113" t="s">
        <v>52</v>
      </c>
      <c r="D113" t="s">
        <v>53</v>
      </c>
      <c r="E113">
        <v>2025</v>
      </c>
      <c r="F113" s="15">
        <v>126465</v>
      </c>
      <c r="G113" s="16">
        <v>40779925000</v>
      </c>
      <c r="H113" s="15">
        <v>37322</v>
      </c>
      <c r="I113" s="16">
        <v>16602520000</v>
      </c>
      <c r="J113" s="15">
        <v>30549</v>
      </c>
      <c r="K113" s="16">
        <v>7823555000</v>
      </c>
      <c r="L113" s="15">
        <v>194336</v>
      </c>
      <c r="M113" s="16">
        <v>65206000000</v>
      </c>
      <c r="N113" s="16">
        <v>335532.27</v>
      </c>
      <c r="O113" s="17">
        <v>0.06367399999999999</v>
      </c>
    </row>
    <row r="114" spans="1:15">
      <c r="A114" t="s">
        <v>54</v>
      </c>
      <c r="B114" t="s">
        <v>55</v>
      </c>
      <c r="C114" t="s">
        <v>52</v>
      </c>
      <c r="D114" t="s">
        <v>53</v>
      </c>
      <c r="E114">
        <v>2018</v>
      </c>
      <c r="F114" s="15">
        <v>99366</v>
      </c>
      <c r="G114" s="16">
        <v>18046560000</v>
      </c>
      <c r="H114" s="15">
        <v>24239</v>
      </c>
      <c r="I114" s="16">
        <v>4375645000</v>
      </c>
      <c r="J114" s="15">
        <v>26288</v>
      </c>
      <c r="K114" s="16">
        <v>3702040000</v>
      </c>
      <c r="L114" s="15">
        <v>149893</v>
      </c>
      <c r="M114" s="16">
        <v>26124245000</v>
      </c>
      <c r="N114" s="16">
        <v>174285.96</v>
      </c>
      <c r="O114" s="17">
        <v>0.063266</v>
      </c>
    </row>
    <row r="115" spans="1:15">
      <c r="A115" t="s">
        <v>54</v>
      </c>
      <c r="B115" t="s">
        <v>55</v>
      </c>
      <c r="C115" t="s">
        <v>52</v>
      </c>
      <c r="D115" t="s">
        <v>53</v>
      </c>
      <c r="E115">
        <v>2019</v>
      </c>
      <c r="F115" s="15">
        <v>100779</v>
      </c>
      <c r="G115" s="16">
        <v>19362075000</v>
      </c>
      <c r="H115" s="15">
        <v>45991</v>
      </c>
      <c r="I115" s="16">
        <v>9362555000</v>
      </c>
      <c r="J115" s="15">
        <v>32505</v>
      </c>
      <c r="K115" s="16">
        <v>5118845000</v>
      </c>
      <c r="L115" s="15">
        <v>179275</v>
      </c>
      <c r="M115" s="16">
        <v>33843475000</v>
      </c>
      <c r="N115" s="16">
        <v>188779.67</v>
      </c>
      <c r="O115" s="17">
        <v>0.070688</v>
      </c>
    </row>
    <row r="116" spans="1:15">
      <c r="A116" t="s">
        <v>54</v>
      </c>
      <c r="B116" t="s">
        <v>55</v>
      </c>
      <c r="C116" t="s">
        <v>52</v>
      </c>
      <c r="D116" t="s">
        <v>53</v>
      </c>
      <c r="E116">
        <v>2020</v>
      </c>
      <c r="F116" s="15">
        <v>110003</v>
      </c>
      <c r="G116" s="16">
        <v>22554345000</v>
      </c>
      <c r="H116" s="15">
        <v>136216</v>
      </c>
      <c r="I116" s="16">
        <v>27442830000</v>
      </c>
      <c r="J116" s="15">
        <v>48891</v>
      </c>
      <c r="K116" s="16">
        <v>8545145000</v>
      </c>
      <c r="L116" s="15">
        <v>295110</v>
      </c>
      <c r="M116" s="16">
        <v>58542320000</v>
      </c>
      <c r="N116" s="16">
        <v>198374.57</v>
      </c>
      <c r="O116" s="17">
        <v>0.122945</v>
      </c>
    </row>
    <row r="117" spans="1:15">
      <c r="A117" t="s">
        <v>54</v>
      </c>
      <c r="B117" t="s">
        <v>55</v>
      </c>
      <c r="C117" t="s">
        <v>52</v>
      </c>
      <c r="D117" t="s">
        <v>53</v>
      </c>
      <c r="E117">
        <v>2021</v>
      </c>
      <c r="F117" s="15">
        <v>114720</v>
      </c>
      <c r="G117" s="16">
        <v>26884230000</v>
      </c>
      <c r="H117" s="15">
        <v>112584</v>
      </c>
      <c r="I117" s="16">
        <v>20927970000</v>
      </c>
      <c r="J117" s="15">
        <v>63964</v>
      </c>
      <c r="K117" s="16">
        <v>11290310000</v>
      </c>
      <c r="L117" s="15">
        <v>291268</v>
      </c>
      <c r="M117" s="16">
        <v>59102510000</v>
      </c>
      <c r="N117" s="16">
        <v>202914.53</v>
      </c>
      <c r="O117" s="17">
        <v>0.145498</v>
      </c>
    </row>
    <row r="118" spans="1:15">
      <c r="A118" t="s">
        <v>54</v>
      </c>
      <c r="B118" t="s">
        <v>55</v>
      </c>
      <c r="C118" t="s">
        <v>52</v>
      </c>
      <c r="D118" t="s">
        <v>53</v>
      </c>
      <c r="E118">
        <v>2022</v>
      </c>
      <c r="F118" s="15">
        <v>101494</v>
      </c>
      <c r="G118" s="16">
        <v>26753720000</v>
      </c>
      <c r="H118" s="15">
        <v>25292</v>
      </c>
      <c r="I118" s="16">
        <v>5894340000</v>
      </c>
      <c r="J118" s="15">
        <v>38885</v>
      </c>
      <c r="K118" s="16">
        <v>6926265000</v>
      </c>
      <c r="L118" s="15">
        <v>165671</v>
      </c>
      <c r="M118" s="16">
        <v>39574325000</v>
      </c>
      <c r="N118" s="16">
        <v>238872.98</v>
      </c>
      <c r="O118" s="17">
        <v>0.088506</v>
      </c>
    </row>
    <row r="119" spans="1:15">
      <c r="A119" t="s">
        <v>54</v>
      </c>
      <c r="B119" t="s">
        <v>55</v>
      </c>
      <c r="C119" t="s">
        <v>52</v>
      </c>
      <c r="D119" t="s">
        <v>53</v>
      </c>
      <c r="E119">
        <v>2023</v>
      </c>
      <c r="F119" s="15">
        <v>82007</v>
      </c>
      <c r="G119" s="16">
        <v>21955345000</v>
      </c>
      <c r="H119" s="15">
        <v>12233</v>
      </c>
      <c r="I119" s="16">
        <v>3191595000</v>
      </c>
      <c r="J119" s="15">
        <v>21348</v>
      </c>
      <c r="K119" s="16">
        <v>3336030000</v>
      </c>
      <c r="L119" s="15">
        <v>115588</v>
      </c>
      <c r="M119" s="16">
        <v>28482970000</v>
      </c>
      <c r="N119" s="16">
        <v>246418.05</v>
      </c>
      <c r="O119" s="17">
        <v>0.072336</v>
      </c>
    </row>
    <row r="120" spans="1:15">
      <c r="A120" t="s">
        <v>54</v>
      </c>
      <c r="B120" t="s">
        <v>55</v>
      </c>
      <c r="C120" t="s">
        <v>52</v>
      </c>
      <c r="D120" t="s">
        <v>53</v>
      </c>
      <c r="E120">
        <v>2024</v>
      </c>
      <c r="F120" s="15">
        <v>86417</v>
      </c>
      <c r="G120" s="16">
        <v>22840145000</v>
      </c>
      <c r="H120" s="15">
        <v>19378</v>
      </c>
      <c r="I120" s="16">
        <v>5174520000</v>
      </c>
      <c r="J120" s="15">
        <v>23512</v>
      </c>
      <c r="K120" s="16">
        <v>3965180000</v>
      </c>
      <c r="L120" s="15">
        <v>129307</v>
      </c>
      <c r="M120" s="16">
        <v>31979845000</v>
      </c>
      <c r="N120" s="16">
        <v>247317.2</v>
      </c>
      <c r="O120" s="17">
        <v>0.06508700000000001</v>
      </c>
    </row>
    <row r="121" spans="1:15">
      <c r="A121" t="s">
        <v>54</v>
      </c>
      <c r="B121" t="s">
        <v>55</v>
      </c>
      <c r="C121" t="s">
        <v>52</v>
      </c>
      <c r="D121" t="s">
        <v>53</v>
      </c>
      <c r="E121">
        <v>2025</v>
      </c>
      <c r="F121" s="15">
        <v>87808</v>
      </c>
      <c r="G121" s="16">
        <v>26132520000</v>
      </c>
      <c r="H121" s="15">
        <v>26756</v>
      </c>
      <c r="I121" s="16">
        <v>8477500000</v>
      </c>
      <c r="J121" s="15">
        <v>28714</v>
      </c>
      <c r="K121" s="16">
        <v>5046600000</v>
      </c>
      <c r="L121" s="15">
        <v>143278</v>
      </c>
      <c r="M121" s="16">
        <v>39656620000</v>
      </c>
      <c r="N121" s="16">
        <v>276780.94</v>
      </c>
      <c r="O121" s="17">
        <v>0.033455</v>
      </c>
    </row>
    <row r="122" spans="1:15">
      <c r="A122" t="s">
        <v>56</v>
      </c>
      <c r="B122" t="s">
        <v>57</v>
      </c>
      <c r="C122" t="s">
        <v>52</v>
      </c>
      <c r="D122" t="s">
        <v>58</v>
      </c>
      <c r="E122">
        <v>2018</v>
      </c>
      <c r="F122" s="15">
        <v>50181</v>
      </c>
      <c r="G122" s="16">
        <v>8171435000</v>
      </c>
      <c r="H122" s="15">
        <v>13575</v>
      </c>
      <c r="I122" s="16">
        <v>2063065000</v>
      </c>
      <c r="J122" s="15">
        <v>9822</v>
      </c>
      <c r="K122" s="16">
        <v>1412650000</v>
      </c>
      <c r="L122" s="15">
        <v>73578</v>
      </c>
      <c r="M122" s="16">
        <v>11647150000</v>
      </c>
      <c r="N122" s="16">
        <v>158296.64</v>
      </c>
      <c r="O122" s="17">
        <v>0.042857</v>
      </c>
    </row>
    <row r="123" spans="1:15">
      <c r="A123" t="s">
        <v>56</v>
      </c>
      <c r="B123" t="s">
        <v>57</v>
      </c>
      <c r="C123" t="s">
        <v>52</v>
      </c>
      <c r="D123" t="s">
        <v>58</v>
      </c>
      <c r="E123">
        <v>2019</v>
      </c>
      <c r="F123" s="15">
        <v>48994</v>
      </c>
      <c r="G123" s="16">
        <v>8487110000</v>
      </c>
      <c r="H123" s="15">
        <v>21977</v>
      </c>
      <c r="I123" s="16">
        <v>4271305000</v>
      </c>
      <c r="J123" s="15">
        <v>13684</v>
      </c>
      <c r="K123" s="16">
        <v>2385570000</v>
      </c>
      <c r="L123" s="15">
        <v>84655</v>
      </c>
      <c r="M123" s="16">
        <v>15143985000</v>
      </c>
      <c r="N123" s="16">
        <v>178890.61</v>
      </c>
      <c r="O123" s="17">
        <v>0.030371</v>
      </c>
    </row>
    <row r="124" spans="1:15">
      <c r="A124" t="s">
        <v>56</v>
      </c>
      <c r="B124" t="s">
        <v>57</v>
      </c>
      <c r="C124" t="s">
        <v>52</v>
      </c>
      <c r="D124" t="s">
        <v>58</v>
      </c>
      <c r="E124">
        <v>2020</v>
      </c>
      <c r="F124" s="15">
        <v>52801</v>
      </c>
      <c r="G124" s="16">
        <v>9735055000</v>
      </c>
      <c r="H124" s="15">
        <v>55267</v>
      </c>
      <c r="I124" s="16">
        <v>11939225000</v>
      </c>
      <c r="J124" s="15">
        <v>21119</v>
      </c>
      <c r="K124" s="16">
        <v>4011595000</v>
      </c>
      <c r="L124" s="15">
        <v>129187</v>
      </c>
      <c r="M124" s="16">
        <v>25685875000</v>
      </c>
      <c r="N124" s="16">
        <v>198827.09</v>
      </c>
      <c r="O124" s="17">
        <v>0.08179400000000001</v>
      </c>
    </row>
    <row r="125" spans="1:15">
      <c r="A125" t="s">
        <v>56</v>
      </c>
      <c r="B125" t="s">
        <v>57</v>
      </c>
      <c r="C125" t="s">
        <v>52</v>
      </c>
      <c r="D125" t="s">
        <v>58</v>
      </c>
      <c r="E125">
        <v>2021</v>
      </c>
      <c r="F125" s="15">
        <v>56761</v>
      </c>
      <c r="G125" s="16">
        <v>12061925000</v>
      </c>
      <c r="H125" s="15">
        <v>47163</v>
      </c>
      <c r="I125" s="16">
        <v>9151815000</v>
      </c>
      <c r="J125" s="15">
        <v>21429</v>
      </c>
      <c r="K125" s="16">
        <v>3850455000</v>
      </c>
      <c r="L125" s="15">
        <v>125353</v>
      </c>
      <c r="M125" s="16">
        <v>25064195000</v>
      </c>
      <c r="N125" s="16">
        <v>199948.9</v>
      </c>
      <c r="O125" s="17">
        <v>0.110128</v>
      </c>
    </row>
    <row r="126" spans="1:15">
      <c r="A126" t="s">
        <v>56</v>
      </c>
      <c r="B126" t="s">
        <v>57</v>
      </c>
      <c r="C126" t="s">
        <v>52</v>
      </c>
      <c r="D126" t="s">
        <v>58</v>
      </c>
      <c r="E126">
        <v>2022</v>
      </c>
      <c r="F126" s="15">
        <v>49548</v>
      </c>
      <c r="G126" s="16">
        <v>10701650000</v>
      </c>
      <c r="H126" s="15">
        <v>12706</v>
      </c>
      <c r="I126" s="16">
        <v>2691690000</v>
      </c>
      <c r="J126" s="15">
        <v>11181</v>
      </c>
      <c r="K126" s="16">
        <v>2084685000</v>
      </c>
      <c r="L126" s="15">
        <v>73435</v>
      </c>
      <c r="M126" s="16">
        <v>15478025000</v>
      </c>
      <c r="N126" s="16">
        <v>210771.77</v>
      </c>
      <c r="O126" s="17">
        <v>0.08425100000000001</v>
      </c>
    </row>
    <row r="127" spans="1:15">
      <c r="A127" t="s">
        <v>56</v>
      </c>
      <c r="B127" t="s">
        <v>57</v>
      </c>
      <c r="C127" t="s">
        <v>52</v>
      </c>
      <c r="D127" t="s">
        <v>58</v>
      </c>
      <c r="E127">
        <v>2023</v>
      </c>
      <c r="F127" s="15">
        <v>39087</v>
      </c>
      <c r="G127" s="16">
        <v>8399865000</v>
      </c>
      <c r="H127" s="15">
        <v>6451</v>
      </c>
      <c r="I127" s="16">
        <v>1127475000</v>
      </c>
      <c r="J127" s="15">
        <v>5245</v>
      </c>
      <c r="K127" s="16">
        <v>716805000</v>
      </c>
      <c r="L127" s="15">
        <v>50783</v>
      </c>
      <c r="M127" s="16">
        <v>10244145000</v>
      </c>
      <c r="N127" s="16">
        <v>201723.9</v>
      </c>
      <c r="O127" s="17">
        <v>0.058423</v>
      </c>
    </row>
    <row r="128" spans="1:15">
      <c r="A128" t="s">
        <v>56</v>
      </c>
      <c r="B128" t="s">
        <v>57</v>
      </c>
      <c r="C128" t="s">
        <v>52</v>
      </c>
      <c r="D128" t="s">
        <v>58</v>
      </c>
      <c r="E128">
        <v>2024</v>
      </c>
      <c r="F128" s="15">
        <v>39109</v>
      </c>
      <c r="G128" s="16">
        <v>8760895000</v>
      </c>
      <c r="H128" s="15">
        <v>8877</v>
      </c>
      <c r="I128" s="16">
        <v>1899255000</v>
      </c>
      <c r="J128" s="15">
        <v>5705</v>
      </c>
      <c r="K128" s="16">
        <v>894535000</v>
      </c>
      <c r="L128" s="15">
        <v>53691</v>
      </c>
      <c r="M128" s="16">
        <v>11554685000</v>
      </c>
      <c r="N128" s="16">
        <v>215207.11</v>
      </c>
      <c r="O128" s="17">
        <v>0.050961</v>
      </c>
    </row>
    <row r="129" spans="1:15">
      <c r="A129" t="s">
        <v>56</v>
      </c>
      <c r="B129" t="s">
        <v>57</v>
      </c>
      <c r="C129" t="s">
        <v>52</v>
      </c>
      <c r="D129" t="s">
        <v>58</v>
      </c>
      <c r="E129">
        <v>2025</v>
      </c>
      <c r="F129" s="15">
        <v>41879</v>
      </c>
      <c r="G129" s="16">
        <v>10032125000</v>
      </c>
      <c r="H129" s="15">
        <v>12476</v>
      </c>
      <c r="I129" s="16">
        <v>3549790000</v>
      </c>
      <c r="J129" s="15">
        <v>7136</v>
      </c>
      <c r="K129" s="16">
        <v>1306120000</v>
      </c>
      <c r="L129" s="15">
        <v>61491</v>
      </c>
      <c r="M129" s="16">
        <v>14888035000</v>
      </c>
      <c r="N129" s="16">
        <v>242117.3</v>
      </c>
      <c r="O129" s="17">
        <v>0.037492</v>
      </c>
    </row>
    <row r="130" spans="1:15">
      <c r="A130" t="s">
        <v>59</v>
      </c>
      <c r="B130" t="s">
        <v>60</v>
      </c>
      <c r="C130" t="s">
        <v>52</v>
      </c>
      <c r="D130" t="s">
        <v>58</v>
      </c>
      <c r="E130">
        <v>2018</v>
      </c>
      <c r="F130" s="15">
        <v>37146</v>
      </c>
      <c r="G130" s="16">
        <v>7272750000</v>
      </c>
      <c r="H130" s="15">
        <v>8526</v>
      </c>
      <c r="I130" s="16">
        <v>1658030000</v>
      </c>
      <c r="J130" s="15">
        <v>8291</v>
      </c>
      <c r="K130" s="16">
        <v>1595085000</v>
      </c>
      <c r="L130" s="15">
        <v>53963</v>
      </c>
      <c r="M130" s="16">
        <v>10525865000</v>
      </c>
      <c r="N130" s="16">
        <v>195057.08</v>
      </c>
      <c r="O130" s="17">
        <v>0.054257</v>
      </c>
    </row>
    <row r="131" spans="1:15">
      <c r="A131" t="s">
        <v>59</v>
      </c>
      <c r="B131" t="s">
        <v>60</v>
      </c>
      <c r="C131" t="s">
        <v>52</v>
      </c>
      <c r="D131" t="s">
        <v>58</v>
      </c>
      <c r="E131">
        <v>2019</v>
      </c>
      <c r="F131" s="15">
        <v>37854</v>
      </c>
      <c r="G131" s="16">
        <v>7845640000</v>
      </c>
      <c r="H131" s="15">
        <v>14299</v>
      </c>
      <c r="I131" s="16">
        <v>3294035000</v>
      </c>
      <c r="J131" s="15">
        <v>10846</v>
      </c>
      <c r="K131" s="16">
        <v>2046060000</v>
      </c>
      <c r="L131" s="15">
        <v>62999</v>
      </c>
      <c r="M131" s="16">
        <v>13185735000</v>
      </c>
      <c r="N131" s="16">
        <v>209300.7</v>
      </c>
      <c r="O131" s="17">
        <v>0.053045</v>
      </c>
    </row>
    <row r="132" spans="1:15">
      <c r="A132" t="s">
        <v>59</v>
      </c>
      <c r="B132" t="s">
        <v>60</v>
      </c>
      <c r="C132" t="s">
        <v>52</v>
      </c>
      <c r="D132" t="s">
        <v>58</v>
      </c>
      <c r="E132">
        <v>2020</v>
      </c>
      <c r="F132" s="15">
        <v>41489</v>
      </c>
      <c r="G132" s="16">
        <v>9050335000</v>
      </c>
      <c r="H132" s="15">
        <v>43252</v>
      </c>
      <c r="I132" s="16">
        <v>10004460000</v>
      </c>
      <c r="J132" s="15">
        <v>15932</v>
      </c>
      <c r="K132" s="16">
        <v>3366730000</v>
      </c>
      <c r="L132" s="15">
        <v>100673</v>
      </c>
      <c r="M132" s="16">
        <v>22421525000</v>
      </c>
      <c r="N132" s="16">
        <v>222716.37</v>
      </c>
      <c r="O132" s="17">
        <v>0.109123</v>
      </c>
    </row>
    <row r="133" spans="1:15">
      <c r="A133" t="s">
        <v>59</v>
      </c>
      <c r="B133" t="s">
        <v>60</v>
      </c>
      <c r="C133" t="s">
        <v>52</v>
      </c>
      <c r="D133" t="s">
        <v>58</v>
      </c>
      <c r="E133">
        <v>2021</v>
      </c>
      <c r="F133" s="15">
        <v>43843</v>
      </c>
      <c r="G133" s="16">
        <v>10457005000</v>
      </c>
      <c r="H133" s="15">
        <v>35542</v>
      </c>
      <c r="I133" s="16">
        <v>7717530000</v>
      </c>
      <c r="J133" s="15">
        <v>19058</v>
      </c>
      <c r="K133" s="16">
        <v>3948240000</v>
      </c>
      <c r="L133" s="15">
        <v>98443</v>
      </c>
      <c r="M133" s="16">
        <v>22122775000</v>
      </c>
      <c r="N133" s="16">
        <v>224726.75</v>
      </c>
      <c r="O133" s="17">
        <v>0.127275</v>
      </c>
    </row>
    <row r="134" spans="1:15">
      <c r="A134" t="s">
        <v>59</v>
      </c>
      <c r="B134" t="s">
        <v>60</v>
      </c>
      <c r="C134" t="s">
        <v>52</v>
      </c>
      <c r="D134" t="s">
        <v>58</v>
      </c>
      <c r="E134">
        <v>2022</v>
      </c>
      <c r="F134" s="15">
        <v>36840</v>
      </c>
      <c r="G134" s="16">
        <v>9886080000</v>
      </c>
      <c r="H134" s="15">
        <v>7784</v>
      </c>
      <c r="I134" s="16">
        <v>1698240000</v>
      </c>
      <c r="J134" s="15">
        <v>9772</v>
      </c>
      <c r="K134" s="16">
        <v>2013500000</v>
      </c>
      <c r="L134" s="15">
        <v>54396</v>
      </c>
      <c r="M134" s="16">
        <v>13597820000</v>
      </c>
      <c r="N134" s="16">
        <v>249978.31</v>
      </c>
      <c r="O134" s="17">
        <v>0.081622</v>
      </c>
    </row>
    <row r="135" spans="1:15">
      <c r="A135" t="s">
        <v>59</v>
      </c>
      <c r="B135" t="s">
        <v>60</v>
      </c>
      <c r="C135" t="s">
        <v>52</v>
      </c>
      <c r="D135" t="s">
        <v>58</v>
      </c>
      <c r="E135">
        <v>2023</v>
      </c>
      <c r="F135" s="15">
        <v>30898</v>
      </c>
      <c r="G135" s="16">
        <v>8242760000</v>
      </c>
      <c r="H135" s="15">
        <v>4496</v>
      </c>
      <c r="I135" s="16">
        <v>1472900000</v>
      </c>
      <c r="J135" s="15">
        <v>4958</v>
      </c>
      <c r="K135" s="16">
        <v>887220000</v>
      </c>
      <c r="L135" s="15">
        <v>40352</v>
      </c>
      <c r="M135" s="16">
        <v>10602880000</v>
      </c>
      <c r="N135" s="16">
        <v>262759.71</v>
      </c>
      <c r="O135" s="17">
        <v>0.077653</v>
      </c>
    </row>
    <row r="136" spans="1:15">
      <c r="A136" t="s">
        <v>59</v>
      </c>
      <c r="B136" t="s">
        <v>60</v>
      </c>
      <c r="C136" t="s">
        <v>52</v>
      </c>
      <c r="D136" t="s">
        <v>58</v>
      </c>
      <c r="E136">
        <v>2024</v>
      </c>
      <c r="F136" s="15">
        <v>31629</v>
      </c>
      <c r="G136" s="16">
        <v>8538695000</v>
      </c>
      <c r="H136" s="15">
        <v>6994</v>
      </c>
      <c r="I136" s="16">
        <v>1767650000</v>
      </c>
      <c r="J136" s="15">
        <v>6181</v>
      </c>
      <c r="K136" s="16">
        <v>1840305000</v>
      </c>
      <c r="L136" s="15">
        <v>44804</v>
      </c>
      <c r="M136" s="16">
        <v>12146650000</v>
      </c>
      <c r="N136" s="16">
        <v>271106.37</v>
      </c>
      <c r="O136" s="17">
        <v>0.055738</v>
      </c>
    </row>
    <row r="137" spans="1:15">
      <c r="A137" t="s">
        <v>59</v>
      </c>
      <c r="B137" t="s">
        <v>60</v>
      </c>
      <c r="C137" t="s">
        <v>52</v>
      </c>
      <c r="D137" t="s">
        <v>58</v>
      </c>
      <c r="E137">
        <v>2025</v>
      </c>
      <c r="F137" s="15">
        <v>33265</v>
      </c>
      <c r="G137" s="16">
        <v>9781115000</v>
      </c>
      <c r="H137" s="15">
        <v>9838</v>
      </c>
      <c r="I137" s="16">
        <v>3018730000</v>
      </c>
      <c r="J137" s="15">
        <v>7421</v>
      </c>
      <c r="K137" s="16">
        <v>1398995000</v>
      </c>
      <c r="L137" s="15">
        <v>50524</v>
      </c>
      <c r="M137" s="16">
        <v>14198840000</v>
      </c>
      <c r="N137" s="16">
        <v>281031.59</v>
      </c>
      <c r="O137" s="17">
        <v>0.040752</v>
      </c>
    </row>
    <row r="138" spans="1:15">
      <c r="A138" t="s">
        <v>61</v>
      </c>
      <c r="B138" t="s">
        <v>62</v>
      </c>
      <c r="C138" t="s">
        <v>17</v>
      </c>
      <c r="D138" t="s">
        <v>18</v>
      </c>
      <c r="E138">
        <v>2018</v>
      </c>
      <c r="F138" s="15">
        <v>56751</v>
      </c>
      <c r="G138" s="16">
        <v>10158975000</v>
      </c>
      <c r="H138" s="15">
        <v>16331</v>
      </c>
      <c r="I138" s="16">
        <v>2787375000</v>
      </c>
      <c r="J138" s="15">
        <v>12449</v>
      </c>
      <c r="K138" s="16">
        <v>1865155000</v>
      </c>
      <c r="L138" s="15">
        <v>85531</v>
      </c>
      <c r="M138" s="16">
        <v>14811505000</v>
      </c>
      <c r="N138" s="16">
        <v>173171.19</v>
      </c>
      <c r="O138" s="17">
        <v>0.049815</v>
      </c>
    </row>
    <row r="139" spans="1:15">
      <c r="A139" t="s">
        <v>61</v>
      </c>
      <c r="B139" t="s">
        <v>62</v>
      </c>
      <c r="C139" t="s">
        <v>17</v>
      </c>
      <c r="D139" t="s">
        <v>18</v>
      </c>
      <c r="E139">
        <v>2019</v>
      </c>
      <c r="F139" s="15">
        <v>58539</v>
      </c>
      <c r="G139" s="16">
        <v>10894155000</v>
      </c>
      <c r="H139" s="15">
        <v>27112</v>
      </c>
      <c r="I139" s="16">
        <v>5457470000</v>
      </c>
      <c r="J139" s="15">
        <v>15060</v>
      </c>
      <c r="K139" s="16">
        <v>2571570000</v>
      </c>
      <c r="L139" s="15">
        <v>100711</v>
      </c>
      <c r="M139" s="16">
        <v>18923195000</v>
      </c>
      <c r="N139" s="16">
        <v>187896.01</v>
      </c>
      <c r="O139" s="17">
        <v>0.042367</v>
      </c>
    </row>
    <row r="140" spans="1:15">
      <c r="A140" t="s">
        <v>61</v>
      </c>
      <c r="B140" t="s">
        <v>62</v>
      </c>
      <c r="C140" t="s">
        <v>17</v>
      </c>
      <c r="D140" t="s">
        <v>18</v>
      </c>
      <c r="E140">
        <v>2020</v>
      </c>
      <c r="F140" s="15">
        <v>64280</v>
      </c>
      <c r="G140" s="16">
        <v>12839670000</v>
      </c>
      <c r="H140" s="15">
        <v>71094</v>
      </c>
      <c r="I140" s="16">
        <v>14713370000</v>
      </c>
      <c r="J140" s="15">
        <v>21867</v>
      </c>
      <c r="K140" s="16">
        <v>4261485000</v>
      </c>
      <c r="L140" s="15">
        <v>157241</v>
      </c>
      <c r="M140" s="16">
        <v>31814525000</v>
      </c>
      <c r="N140" s="16">
        <v>202329.7</v>
      </c>
      <c r="O140" s="17">
        <v>0.111897</v>
      </c>
    </row>
    <row r="141" spans="1:15">
      <c r="A141" t="s">
        <v>61</v>
      </c>
      <c r="B141" t="s">
        <v>62</v>
      </c>
      <c r="C141" t="s">
        <v>17</v>
      </c>
      <c r="D141" t="s">
        <v>18</v>
      </c>
      <c r="E141">
        <v>2021</v>
      </c>
      <c r="F141" s="15">
        <v>68796</v>
      </c>
      <c r="G141" s="16">
        <v>15519670000</v>
      </c>
      <c r="H141" s="15">
        <v>64329</v>
      </c>
      <c r="I141" s="16">
        <v>12636115000</v>
      </c>
      <c r="J141" s="15">
        <v>28168</v>
      </c>
      <c r="K141" s="16">
        <v>5454700000</v>
      </c>
      <c r="L141" s="15">
        <v>161293</v>
      </c>
      <c r="M141" s="16">
        <v>33610485000</v>
      </c>
      <c r="N141" s="16">
        <v>208381.55</v>
      </c>
      <c r="O141" s="17">
        <v>0.140152</v>
      </c>
    </row>
    <row r="142" spans="1:15">
      <c r="A142" t="s">
        <v>61</v>
      </c>
      <c r="B142" t="s">
        <v>62</v>
      </c>
      <c r="C142" t="s">
        <v>17</v>
      </c>
      <c r="D142" t="s">
        <v>18</v>
      </c>
      <c r="E142">
        <v>2022</v>
      </c>
      <c r="F142" s="15">
        <v>58809</v>
      </c>
      <c r="G142" s="16">
        <v>15507005000</v>
      </c>
      <c r="H142" s="15">
        <v>17535</v>
      </c>
      <c r="I142" s="16">
        <v>3793705000</v>
      </c>
      <c r="J142" s="15">
        <v>16593</v>
      </c>
      <c r="K142" s="16">
        <v>3136965000</v>
      </c>
      <c r="L142" s="15">
        <v>92937</v>
      </c>
      <c r="M142" s="16">
        <v>22437675000</v>
      </c>
      <c r="N142" s="16">
        <v>241428.87</v>
      </c>
      <c r="O142" s="17">
        <v>0.093972</v>
      </c>
    </row>
    <row r="143" spans="1:15">
      <c r="A143" t="s">
        <v>61</v>
      </c>
      <c r="B143" t="s">
        <v>62</v>
      </c>
      <c r="C143" t="s">
        <v>17</v>
      </c>
      <c r="D143" t="s">
        <v>18</v>
      </c>
      <c r="E143">
        <v>2023</v>
      </c>
      <c r="F143" s="15">
        <v>46993</v>
      </c>
      <c r="G143" s="16">
        <v>11578505000</v>
      </c>
      <c r="H143" s="15">
        <v>8996</v>
      </c>
      <c r="I143" s="16">
        <v>2016230000</v>
      </c>
      <c r="J143" s="15">
        <v>9156</v>
      </c>
      <c r="K143" s="16">
        <v>1579780000</v>
      </c>
      <c r="L143" s="15">
        <v>65145</v>
      </c>
      <c r="M143" s="16">
        <v>15174515000</v>
      </c>
      <c r="N143" s="16">
        <v>232934.45</v>
      </c>
      <c r="O143" s="17">
        <v>0.058498</v>
      </c>
    </row>
    <row r="144" spans="1:15">
      <c r="A144" t="s">
        <v>61</v>
      </c>
      <c r="B144" t="s">
        <v>62</v>
      </c>
      <c r="C144" t="s">
        <v>17</v>
      </c>
      <c r="D144" t="s">
        <v>18</v>
      </c>
      <c r="E144">
        <v>2024</v>
      </c>
      <c r="F144" s="15">
        <v>49243</v>
      </c>
      <c r="G144" s="16">
        <v>12722515000</v>
      </c>
      <c r="H144" s="15">
        <v>11885</v>
      </c>
      <c r="I144" s="16">
        <v>3086205000</v>
      </c>
      <c r="J144" s="15">
        <v>10519</v>
      </c>
      <c r="K144" s="16">
        <v>1846595000</v>
      </c>
      <c r="L144" s="15">
        <v>71647</v>
      </c>
      <c r="M144" s="16">
        <v>17655315000</v>
      </c>
      <c r="N144" s="16">
        <v>246420.86</v>
      </c>
      <c r="O144" s="17">
        <v>0.065426</v>
      </c>
    </row>
    <row r="145" spans="1:15">
      <c r="A145" t="s">
        <v>61</v>
      </c>
      <c r="B145" t="s">
        <v>62</v>
      </c>
      <c r="C145" t="s">
        <v>17</v>
      </c>
      <c r="D145" t="s">
        <v>18</v>
      </c>
      <c r="E145">
        <v>2025</v>
      </c>
      <c r="F145" s="15">
        <v>51753</v>
      </c>
      <c r="G145" s="16">
        <v>14622565000</v>
      </c>
      <c r="H145" s="15">
        <v>16732</v>
      </c>
      <c r="I145" s="16">
        <v>4609090000</v>
      </c>
      <c r="J145" s="15">
        <v>13189</v>
      </c>
      <c r="K145" s="16">
        <v>2578235000</v>
      </c>
      <c r="L145" s="15">
        <v>81674</v>
      </c>
      <c r="M145" s="16">
        <v>21809890000</v>
      </c>
      <c r="N145" s="16">
        <v>267035.9</v>
      </c>
      <c r="O145" s="17">
        <v>0.028846</v>
      </c>
    </row>
    <row r="146" spans="1:15">
      <c r="A146" t="s">
        <v>63</v>
      </c>
      <c r="B146" t="s">
        <v>64</v>
      </c>
      <c r="C146" t="s">
        <v>17</v>
      </c>
      <c r="D146" t="s">
        <v>28</v>
      </c>
      <c r="E146">
        <v>2018</v>
      </c>
      <c r="F146" s="15">
        <v>49516</v>
      </c>
      <c r="G146" s="16">
        <v>10060450000</v>
      </c>
      <c r="H146" s="15">
        <v>16110</v>
      </c>
      <c r="I146" s="16">
        <v>3016650000</v>
      </c>
      <c r="J146" s="15">
        <v>11709</v>
      </c>
      <c r="K146" s="16">
        <v>2055055000</v>
      </c>
      <c r="L146" s="15">
        <v>77335</v>
      </c>
      <c r="M146" s="16">
        <v>15132155000</v>
      </c>
      <c r="N146" s="16">
        <v>195670.2</v>
      </c>
      <c r="O146" s="17">
        <v>0.020333</v>
      </c>
    </row>
    <row r="147" spans="1:15">
      <c r="A147" t="s">
        <v>63</v>
      </c>
      <c r="B147" t="s">
        <v>64</v>
      </c>
      <c r="C147" t="s">
        <v>17</v>
      </c>
      <c r="D147" t="s">
        <v>28</v>
      </c>
      <c r="E147">
        <v>2019</v>
      </c>
      <c r="F147" s="15">
        <v>53720</v>
      </c>
      <c r="G147" s="16">
        <v>11194850000</v>
      </c>
      <c r="H147" s="15">
        <v>22413</v>
      </c>
      <c r="I147" s="16">
        <v>5254665000</v>
      </c>
      <c r="J147" s="15">
        <v>12091</v>
      </c>
      <c r="K147" s="16">
        <v>2384235000</v>
      </c>
      <c r="L147" s="15">
        <v>88224</v>
      </c>
      <c r="M147" s="16">
        <v>18833750000</v>
      </c>
      <c r="N147" s="16">
        <v>213476.49</v>
      </c>
      <c r="O147" s="17">
        <v>0.028804</v>
      </c>
    </row>
    <row r="148" spans="1:15">
      <c r="A148" t="s">
        <v>63</v>
      </c>
      <c r="B148" t="s">
        <v>64</v>
      </c>
      <c r="C148" t="s">
        <v>17</v>
      </c>
      <c r="D148" t="s">
        <v>28</v>
      </c>
      <c r="E148">
        <v>2020</v>
      </c>
      <c r="F148" s="15">
        <v>58521</v>
      </c>
      <c r="G148" s="16">
        <v>12875455000</v>
      </c>
      <c r="H148" s="15">
        <v>62034</v>
      </c>
      <c r="I148" s="16">
        <v>14518230000</v>
      </c>
      <c r="J148" s="15">
        <v>16779</v>
      </c>
      <c r="K148" s="16">
        <v>3777325000</v>
      </c>
      <c r="L148" s="15">
        <v>137334</v>
      </c>
      <c r="M148" s="16">
        <v>31171010000</v>
      </c>
      <c r="N148" s="16">
        <v>226972.27</v>
      </c>
      <c r="O148" s="17">
        <v>0.06282799999999999</v>
      </c>
    </row>
    <row r="149" spans="1:15">
      <c r="A149" t="s">
        <v>63</v>
      </c>
      <c r="B149" t="s">
        <v>64</v>
      </c>
      <c r="C149" t="s">
        <v>17</v>
      </c>
      <c r="D149" t="s">
        <v>28</v>
      </c>
      <c r="E149">
        <v>2021</v>
      </c>
      <c r="F149" s="15">
        <v>67364</v>
      </c>
      <c r="G149" s="16">
        <v>16212780000</v>
      </c>
      <c r="H149" s="15">
        <v>51098</v>
      </c>
      <c r="I149" s="16">
        <v>11390640000</v>
      </c>
      <c r="J149" s="15">
        <v>18802</v>
      </c>
      <c r="K149" s="16">
        <v>4061060000</v>
      </c>
      <c r="L149" s="15">
        <v>137264</v>
      </c>
      <c r="M149" s="16">
        <v>31664480000</v>
      </c>
      <c r="N149" s="16">
        <v>230683.06</v>
      </c>
      <c r="O149" s="17">
        <v>0.102555</v>
      </c>
    </row>
    <row r="150" spans="1:15">
      <c r="A150" t="s">
        <v>63</v>
      </c>
      <c r="B150" t="s">
        <v>64</v>
      </c>
      <c r="C150" t="s">
        <v>17</v>
      </c>
      <c r="D150" t="s">
        <v>28</v>
      </c>
      <c r="E150">
        <v>2022</v>
      </c>
      <c r="F150" s="15">
        <v>56307</v>
      </c>
      <c r="G150" s="16">
        <v>14480685000</v>
      </c>
      <c r="H150" s="15">
        <v>13741</v>
      </c>
      <c r="I150" s="16">
        <v>3320915000</v>
      </c>
      <c r="J150" s="15">
        <v>11193</v>
      </c>
      <c r="K150" s="16">
        <v>2313495000</v>
      </c>
      <c r="L150" s="15">
        <v>81241</v>
      </c>
      <c r="M150" s="16">
        <v>20115095000</v>
      </c>
      <c r="N150" s="16">
        <v>247597.83</v>
      </c>
      <c r="O150" s="17">
        <v>0.047635</v>
      </c>
    </row>
    <row r="151" spans="1:15">
      <c r="A151" t="s">
        <v>63</v>
      </c>
      <c r="B151" t="s">
        <v>64</v>
      </c>
      <c r="C151" t="s">
        <v>17</v>
      </c>
      <c r="D151" t="s">
        <v>28</v>
      </c>
      <c r="E151">
        <v>2023</v>
      </c>
      <c r="F151" s="15">
        <v>40626</v>
      </c>
      <c r="G151" s="16">
        <v>10070850000</v>
      </c>
      <c r="H151" s="15">
        <v>7835</v>
      </c>
      <c r="I151" s="16">
        <v>2049345000</v>
      </c>
      <c r="J151" s="15">
        <v>5663</v>
      </c>
      <c r="K151" s="16">
        <v>1028505000</v>
      </c>
      <c r="L151" s="15">
        <v>54124</v>
      </c>
      <c r="M151" s="16">
        <v>13148700000</v>
      </c>
      <c r="N151" s="16">
        <v>242936.59</v>
      </c>
      <c r="O151" s="17">
        <v>0.018015</v>
      </c>
    </row>
    <row r="152" spans="1:15">
      <c r="A152" t="s">
        <v>63</v>
      </c>
      <c r="B152" t="s">
        <v>64</v>
      </c>
      <c r="C152" t="s">
        <v>17</v>
      </c>
      <c r="D152" t="s">
        <v>28</v>
      </c>
      <c r="E152">
        <v>2024</v>
      </c>
      <c r="F152" s="15">
        <v>39733</v>
      </c>
      <c r="G152" s="16">
        <v>10018105000</v>
      </c>
      <c r="H152" s="15">
        <v>9245</v>
      </c>
      <c r="I152" s="16">
        <v>2466725000</v>
      </c>
      <c r="J152" s="15">
        <v>6107</v>
      </c>
      <c r="K152" s="16">
        <v>1305875000</v>
      </c>
      <c r="L152" s="15">
        <v>55085</v>
      </c>
      <c r="M152" s="16">
        <v>13790705000</v>
      </c>
      <c r="N152" s="16">
        <v>250353.18</v>
      </c>
      <c r="O152" s="17">
        <v>0.006143</v>
      </c>
    </row>
    <row r="153" spans="1:15">
      <c r="A153" t="s">
        <v>63</v>
      </c>
      <c r="B153" t="s">
        <v>64</v>
      </c>
      <c r="C153" t="s">
        <v>17</v>
      </c>
      <c r="D153" t="s">
        <v>28</v>
      </c>
      <c r="E153">
        <v>2025</v>
      </c>
      <c r="F153" s="15">
        <v>41291</v>
      </c>
      <c r="G153" s="16">
        <v>10561745000</v>
      </c>
      <c r="H153" s="15">
        <v>12247</v>
      </c>
      <c r="I153" s="16">
        <v>3388205000</v>
      </c>
      <c r="J153" s="15">
        <v>7449</v>
      </c>
      <c r="K153" s="16">
        <v>1438515000</v>
      </c>
      <c r="L153" s="15">
        <v>60987</v>
      </c>
      <c r="M153" s="16">
        <v>15388465000</v>
      </c>
      <c r="N153" s="16">
        <v>252323.69</v>
      </c>
      <c r="O153" s="17">
        <v>0.034617</v>
      </c>
    </row>
    <row r="154" spans="1:15">
      <c r="A154" t="s">
        <v>65</v>
      </c>
      <c r="B154" t="s">
        <v>66</v>
      </c>
      <c r="C154" t="s">
        <v>35</v>
      </c>
      <c r="D154" t="s">
        <v>36</v>
      </c>
      <c r="E154">
        <v>2018</v>
      </c>
      <c r="F154" s="15">
        <v>18484</v>
      </c>
      <c r="G154" s="16">
        <v>4096560000</v>
      </c>
      <c r="H154" s="15">
        <v>5067</v>
      </c>
      <c r="I154" s="16">
        <v>923545000</v>
      </c>
      <c r="J154" s="15">
        <v>5156</v>
      </c>
      <c r="K154" s="16">
        <v>922360000</v>
      </c>
      <c r="L154" s="15">
        <v>28707</v>
      </c>
      <c r="M154" s="16">
        <v>5942465000</v>
      </c>
      <c r="N154" s="16">
        <v>207004.04</v>
      </c>
      <c r="O154" s="17">
        <v>0.06983200000000001</v>
      </c>
    </row>
    <row r="155" spans="1:15">
      <c r="A155" t="s">
        <v>65</v>
      </c>
      <c r="B155" t="s">
        <v>66</v>
      </c>
      <c r="C155" t="s">
        <v>35</v>
      </c>
      <c r="D155" t="s">
        <v>36</v>
      </c>
      <c r="E155">
        <v>2019</v>
      </c>
      <c r="F155" s="15">
        <v>19509</v>
      </c>
      <c r="G155" s="16">
        <v>4617355000</v>
      </c>
      <c r="H155" s="15">
        <v>9057</v>
      </c>
      <c r="I155" s="16">
        <v>1988295000</v>
      </c>
      <c r="J155" s="15">
        <v>6312</v>
      </c>
      <c r="K155" s="16">
        <v>1299960000</v>
      </c>
      <c r="L155" s="15">
        <v>34878</v>
      </c>
      <c r="M155" s="16">
        <v>7905610000</v>
      </c>
      <c r="N155" s="16">
        <v>226664.66</v>
      </c>
      <c r="O155" s="17">
        <v>0.06583700000000001</v>
      </c>
    </row>
    <row r="156" spans="1:15">
      <c r="A156" t="s">
        <v>65</v>
      </c>
      <c r="B156" t="s">
        <v>66</v>
      </c>
      <c r="C156" t="s">
        <v>35</v>
      </c>
      <c r="D156" t="s">
        <v>36</v>
      </c>
      <c r="E156">
        <v>2020</v>
      </c>
      <c r="F156" s="15">
        <v>21860</v>
      </c>
      <c r="G156" s="16">
        <v>5643310000</v>
      </c>
      <c r="H156" s="15">
        <v>25814</v>
      </c>
      <c r="I156" s="16">
        <v>6125980000</v>
      </c>
      <c r="J156" s="15">
        <v>11081</v>
      </c>
      <c r="K156" s="16">
        <v>2544165000</v>
      </c>
      <c r="L156" s="15">
        <v>58755</v>
      </c>
      <c r="M156" s="16">
        <v>14313455000</v>
      </c>
      <c r="N156" s="16">
        <v>243612.54</v>
      </c>
      <c r="O156" s="17">
        <v>0.140122</v>
      </c>
    </row>
    <row r="157" spans="1:15">
      <c r="A157" t="s">
        <v>65</v>
      </c>
      <c r="B157" t="s">
        <v>66</v>
      </c>
      <c r="C157" t="s">
        <v>35</v>
      </c>
      <c r="D157" t="s">
        <v>36</v>
      </c>
      <c r="E157">
        <v>2021</v>
      </c>
      <c r="F157" s="15">
        <v>23220</v>
      </c>
      <c r="G157" s="16">
        <v>6947920000</v>
      </c>
      <c r="H157" s="15">
        <v>21632</v>
      </c>
      <c r="I157" s="16">
        <v>4917430000</v>
      </c>
      <c r="J157" s="15">
        <v>14413</v>
      </c>
      <c r="K157" s="16">
        <v>3383405000</v>
      </c>
      <c r="L157" s="15">
        <v>59265</v>
      </c>
      <c r="M157" s="16">
        <v>15248755000</v>
      </c>
      <c r="N157" s="16">
        <v>257297.81</v>
      </c>
      <c r="O157" s="17">
        <v>0.201607</v>
      </c>
    </row>
    <row r="158" spans="1:15">
      <c r="A158" t="s">
        <v>65</v>
      </c>
      <c r="B158" t="s">
        <v>66</v>
      </c>
      <c r="C158" t="s">
        <v>35</v>
      </c>
      <c r="D158" t="s">
        <v>36</v>
      </c>
      <c r="E158">
        <v>2022</v>
      </c>
      <c r="F158" s="15">
        <v>18871</v>
      </c>
      <c r="G158" s="16">
        <v>6232955000</v>
      </c>
      <c r="H158" s="15">
        <v>5105</v>
      </c>
      <c r="I158" s="16">
        <v>1347045000</v>
      </c>
      <c r="J158" s="15">
        <v>7716</v>
      </c>
      <c r="K158" s="16">
        <v>1848990000</v>
      </c>
      <c r="L158" s="15">
        <v>31692</v>
      </c>
      <c r="M158" s="16">
        <v>9428990000</v>
      </c>
      <c r="N158" s="16">
        <v>297519.56</v>
      </c>
      <c r="O158" s="17">
        <v>0.125361</v>
      </c>
    </row>
    <row r="159" spans="1:15">
      <c r="A159" t="s">
        <v>65</v>
      </c>
      <c r="B159" t="s">
        <v>66</v>
      </c>
      <c r="C159" t="s">
        <v>35</v>
      </c>
      <c r="D159" t="s">
        <v>36</v>
      </c>
      <c r="E159">
        <v>2023</v>
      </c>
      <c r="F159" s="15">
        <v>14740</v>
      </c>
      <c r="G159" s="16">
        <v>4920380000</v>
      </c>
      <c r="H159" s="15">
        <v>2219</v>
      </c>
      <c r="I159" s="16">
        <v>464875000</v>
      </c>
      <c r="J159" s="15">
        <v>3596</v>
      </c>
      <c r="K159" s="16">
        <v>681050000</v>
      </c>
      <c r="L159" s="15">
        <v>20555</v>
      </c>
      <c r="M159" s="16">
        <v>6066305000</v>
      </c>
      <c r="N159" s="16">
        <v>295125.52</v>
      </c>
      <c r="O159" s="17">
        <v>0.062433</v>
      </c>
    </row>
    <row r="160" spans="1:15">
      <c r="A160" t="s">
        <v>65</v>
      </c>
      <c r="B160" t="s">
        <v>66</v>
      </c>
      <c r="C160" t="s">
        <v>35</v>
      </c>
      <c r="D160" t="s">
        <v>36</v>
      </c>
      <c r="E160">
        <v>2024</v>
      </c>
      <c r="F160" s="15">
        <v>15586</v>
      </c>
      <c r="G160" s="16">
        <v>5505160000</v>
      </c>
      <c r="H160" s="15">
        <v>3615</v>
      </c>
      <c r="I160" s="16">
        <v>972125000</v>
      </c>
      <c r="J160" s="15">
        <v>4253</v>
      </c>
      <c r="K160" s="16">
        <v>905385000</v>
      </c>
      <c r="L160" s="15">
        <v>23454</v>
      </c>
      <c r="M160" s="16">
        <v>7382670000</v>
      </c>
      <c r="N160" s="16">
        <v>314772.32</v>
      </c>
      <c r="O160" s="17">
        <v>0.074502</v>
      </c>
    </row>
    <row r="161" spans="1:15">
      <c r="A161" t="s">
        <v>65</v>
      </c>
      <c r="B161" t="s">
        <v>66</v>
      </c>
      <c r="C161" t="s">
        <v>35</v>
      </c>
      <c r="D161" t="s">
        <v>36</v>
      </c>
      <c r="E161">
        <v>2025</v>
      </c>
      <c r="F161" s="15">
        <v>16396</v>
      </c>
      <c r="G161" s="16">
        <v>6225970000</v>
      </c>
      <c r="H161" s="15">
        <v>5336</v>
      </c>
      <c r="I161" s="16">
        <v>1761740000</v>
      </c>
      <c r="J161" s="15">
        <v>5231</v>
      </c>
      <c r="K161" s="16">
        <v>1235105000</v>
      </c>
      <c r="L161" s="15">
        <v>26963</v>
      </c>
      <c r="M161" s="16">
        <v>9222815000</v>
      </c>
      <c r="N161" s="16">
        <v>342054.48</v>
      </c>
      <c r="O161" s="17">
        <v>0.039422</v>
      </c>
    </row>
    <row r="162" spans="1:15">
      <c r="A162" t="s">
        <v>67</v>
      </c>
      <c r="B162" t="s">
        <v>68</v>
      </c>
      <c r="C162" t="s">
        <v>17</v>
      </c>
      <c r="D162" t="s">
        <v>39</v>
      </c>
      <c r="E162">
        <v>2018</v>
      </c>
      <c r="F162" s="15">
        <v>83263</v>
      </c>
      <c r="G162" s="16">
        <v>28425475000</v>
      </c>
      <c r="H162" s="15">
        <v>22669</v>
      </c>
      <c r="I162" s="16">
        <v>7276475000</v>
      </c>
      <c r="J162" s="15">
        <v>20478</v>
      </c>
      <c r="K162" s="16">
        <v>5488630000</v>
      </c>
      <c r="L162" s="15">
        <v>126410</v>
      </c>
      <c r="M162" s="16">
        <v>41190580000</v>
      </c>
      <c r="N162" s="16">
        <v>325849.06</v>
      </c>
      <c r="O162" s="17">
        <v>0.014273</v>
      </c>
    </row>
    <row r="163" spans="1:15">
      <c r="A163" t="s">
        <v>67</v>
      </c>
      <c r="B163" t="s">
        <v>68</v>
      </c>
      <c r="C163" t="s">
        <v>17</v>
      </c>
      <c r="D163" t="s">
        <v>39</v>
      </c>
      <c r="E163">
        <v>2019</v>
      </c>
      <c r="F163" s="15">
        <v>87626</v>
      </c>
      <c r="G163" s="16">
        <v>30694630000</v>
      </c>
      <c r="H163" s="15">
        <v>51063</v>
      </c>
      <c r="I163" s="16">
        <v>19112915000</v>
      </c>
      <c r="J163" s="15">
        <v>25223</v>
      </c>
      <c r="K163" s="16">
        <v>7197095000</v>
      </c>
      <c r="L163" s="15">
        <v>163912</v>
      </c>
      <c r="M163" s="16">
        <v>57004640000</v>
      </c>
      <c r="N163" s="16">
        <v>347775.88</v>
      </c>
      <c r="O163" s="17">
        <v>0.032246</v>
      </c>
    </row>
    <row r="164" spans="1:15">
      <c r="A164" t="s">
        <v>67</v>
      </c>
      <c r="B164" t="s">
        <v>68</v>
      </c>
      <c r="C164" t="s">
        <v>17</v>
      </c>
      <c r="D164" t="s">
        <v>39</v>
      </c>
      <c r="E164">
        <v>2020</v>
      </c>
      <c r="F164" s="15">
        <v>96847</v>
      </c>
      <c r="G164" s="16">
        <v>34979805000</v>
      </c>
      <c r="H164" s="15">
        <v>169282</v>
      </c>
      <c r="I164" s="16">
        <v>60091630000</v>
      </c>
      <c r="J164" s="15">
        <v>35468</v>
      </c>
      <c r="K164" s="16">
        <v>10748640000</v>
      </c>
      <c r="L164" s="15">
        <v>301597</v>
      </c>
      <c r="M164" s="16">
        <v>105820075000</v>
      </c>
      <c r="N164" s="16">
        <v>350865.81</v>
      </c>
      <c r="O164" s="17">
        <v>0.102182</v>
      </c>
    </row>
    <row r="165" spans="1:15">
      <c r="A165" t="s">
        <v>67</v>
      </c>
      <c r="B165" t="s">
        <v>68</v>
      </c>
      <c r="C165" t="s">
        <v>17</v>
      </c>
      <c r="D165" t="s">
        <v>39</v>
      </c>
      <c r="E165">
        <v>2021</v>
      </c>
      <c r="F165" s="15">
        <v>108698</v>
      </c>
      <c r="G165" s="16">
        <v>43656570000</v>
      </c>
      <c r="H165" s="15">
        <v>150733</v>
      </c>
      <c r="I165" s="16">
        <v>50672895000</v>
      </c>
      <c r="J165" s="15">
        <v>56697</v>
      </c>
      <c r="K165" s="16">
        <v>17299095000</v>
      </c>
      <c r="L165" s="15">
        <v>316128</v>
      </c>
      <c r="M165" s="16">
        <v>111628560000</v>
      </c>
      <c r="N165" s="16">
        <v>353111.9</v>
      </c>
      <c r="O165" s="17">
        <v>0.107998</v>
      </c>
    </row>
    <row r="166" spans="1:15">
      <c r="A166" t="s">
        <v>67</v>
      </c>
      <c r="B166" t="s">
        <v>68</v>
      </c>
      <c r="C166" t="s">
        <v>17</v>
      </c>
      <c r="D166" t="s">
        <v>39</v>
      </c>
      <c r="E166">
        <v>2022</v>
      </c>
      <c r="F166" s="15">
        <v>83776</v>
      </c>
      <c r="G166" s="16">
        <v>34757660000</v>
      </c>
      <c r="H166" s="15">
        <v>21363</v>
      </c>
      <c r="I166" s="16">
        <v>8628675000</v>
      </c>
      <c r="J166" s="15">
        <v>29863</v>
      </c>
      <c r="K166" s="16">
        <v>9250175000</v>
      </c>
      <c r="L166" s="15">
        <v>135002</v>
      </c>
      <c r="M166" s="16">
        <v>52636510000</v>
      </c>
      <c r="N166" s="16">
        <v>389894.3</v>
      </c>
      <c r="O166" s="17">
        <v>0.060533</v>
      </c>
    </row>
    <row r="167" spans="1:15">
      <c r="A167" t="s">
        <v>67</v>
      </c>
      <c r="B167" t="s">
        <v>68</v>
      </c>
      <c r="C167" t="s">
        <v>17</v>
      </c>
      <c r="D167" t="s">
        <v>39</v>
      </c>
      <c r="E167">
        <v>2023</v>
      </c>
      <c r="F167" s="15">
        <v>63141</v>
      </c>
      <c r="G167" s="16">
        <v>25494425000</v>
      </c>
      <c r="H167" s="15">
        <v>6891</v>
      </c>
      <c r="I167" s="16">
        <v>3503175000</v>
      </c>
      <c r="J167" s="15">
        <v>13298</v>
      </c>
      <c r="K167" s="16">
        <v>3571360000</v>
      </c>
      <c r="L167" s="15">
        <v>83330</v>
      </c>
      <c r="M167" s="16">
        <v>32568960000</v>
      </c>
      <c r="N167" s="16">
        <v>390843.15</v>
      </c>
      <c r="O167" s="17">
        <v>0.053917</v>
      </c>
    </row>
    <row r="168" spans="1:15">
      <c r="A168" t="s">
        <v>67</v>
      </c>
      <c r="B168" t="s">
        <v>68</v>
      </c>
      <c r="C168" t="s">
        <v>17</v>
      </c>
      <c r="D168" t="s">
        <v>39</v>
      </c>
      <c r="E168">
        <v>2024</v>
      </c>
      <c r="F168" s="15">
        <v>65722</v>
      </c>
      <c r="G168" s="16">
        <v>28135740000</v>
      </c>
      <c r="H168" s="15">
        <v>13240</v>
      </c>
      <c r="I168" s="16">
        <v>5757820000</v>
      </c>
      <c r="J168" s="15">
        <v>16034</v>
      </c>
      <c r="K168" s="16">
        <v>4132100000</v>
      </c>
      <c r="L168" s="15">
        <v>94996</v>
      </c>
      <c r="M168" s="16">
        <v>38025660000</v>
      </c>
      <c r="N168" s="16">
        <v>400286.96</v>
      </c>
      <c r="O168" s="17">
        <v>0.058991</v>
      </c>
    </row>
    <row r="169" spans="1:15">
      <c r="A169" t="s">
        <v>67</v>
      </c>
      <c r="B169" t="s">
        <v>68</v>
      </c>
      <c r="C169" t="s">
        <v>17</v>
      </c>
      <c r="D169" t="s">
        <v>39</v>
      </c>
      <c r="E169">
        <v>2025</v>
      </c>
      <c r="F169" s="15">
        <v>63681</v>
      </c>
      <c r="G169" s="16">
        <v>27672195000</v>
      </c>
      <c r="H169" s="15">
        <v>19769</v>
      </c>
      <c r="I169" s="16">
        <v>9333205000</v>
      </c>
      <c r="J169" s="15">
        <v>20125</v>
      </c>
      <c r="K169" s="16">
        <v>5020215000</v>
      </c>
      <c r="L169" s="15">
        <v>103575</v>
      </c>
      <c r="M169" s="16">
        <v>42025615000</v>
      </c>
      <c r="N169" s="16">
        <v>405750.57</v>
      </c>
      <c r="O169" s="17">
        <v>0.012015</v>
      </c>
    </row>
    <row r="170" spans="1:15">
      <c r="A170" t="s">
        <v>69</v>
      </c>
      <c r="B170" t="s">
        <v>70</v>
      </c>
      <c r="C170" t="s">
        <v>35</v>
      </c>
      <c r="D170" t="s">
        <v>36</v>
      </c>
      <c r="E170">
        <v>2018</v>
      </c>
      <c r="F170" s="15">
        <v>87947</v>
      </c>
      <c r="G170" s="16">
        <v>35463435000</v>
      </c>
      <c r="H170" s="15">
        <v>28293</v>
      </c>
      <c r="I170" s="16">
        <v>10020845000</v>
      </c>
      <c r="J170" s="15">
        <v>29481</v>
      </c>
      <c r="K170" s="16">
        <v>9144475000</v>
      </c>
      <c r="L170" s="15">
        <v>145721</v>
      </c>
      <c r="M170" s="16">
        <v>54628755000</v>
      </c>
      <c r="N170" s="16">
        <v>374885.95</v>
      </c>
      <c r="O170" s="17">
        <v>0.051898</v>
      </c>
    </row>
    <row r="171" spans="1:15">
      <c r="A171" t="s">
        <v>69</v>
      </c>
      <c r="B171" t="s">
        <v>70</v>
      </c>
      <c r="C171" t="s">
        <v>35</v>
      </c>
      <c r="D171" t="s">
        <v>36</v>
      </c>
      <c r="E171">
        <v>2019</v>
      </c>
      <c r="F171" s="15">
        <v>87625</v>
      </c>
      <c r="G171" s="16">
        <v>37253785000</v>
      </c>
      <c r="H171" s="15">
        <v>63312</v>
      </c>
      <c r="I171" s="16">
        <v>25047100000</v>
      </c>
      <c r="J171" s="15">
        <v>38368</v>
      </c>
      <c r="K171" s="16">
        <v>13285040000</v>
      </c>
      <c r="L171" s="15">
        <v>189305</v>
      </c>
      <c r="M171" s="16">
        <v>75585925000</v>
      </c>
      <c r="N171" s="16">
        <v>399281.19</v>
      </c>
      <c r="O171" s="17">
        <v>0.053945</v>
      </c>
    </row>
    <row r="172" spans="1:15">
      <c r="A172" t="s">
        <v>69</v>
      </c>
      <c r="B172" t="s">
        <v>70</v>
      </c>
      <c r="C172" t="s">
        <v>35</v>
      </c>
      <c r="D172" t="s">
        <v>36</v>
      </c>
      <c r="E172">
        <v>2020</v>
      </c>
      <c r="F172" s="15">
        <v>90096</v>
      </c>
      <c r="G172" s="16">
        <v>41490290000</v>
      </c>
      <c r="H172" s="15">
        <v>171749</v>
      </c>
      <c r="I172" s="16">
        <v>64818315000</v>
      </c>
      <c r="J172" s="15">
        <v>61662</v>
      </c>
      <c r="K172" s="16">
        <v>21875550000</v>
      </c>
      <c r="L172" s="15">
        <v>323507</v>
      </c>
      <c r="M172" s="16">
        <v>128184155000</v>
      </c>
      <c r="N172" s="16">
        <v>396233.02</v>
      </c>
      <c r="O172" s="17">
        <v>0.111851</v>
      </c>
    </row>
    <row r="173" spans="1:15">
      <c r="A173" t="s">
        <v>69</v>
      </c>
      <c r="B173" t="s">
        <v>70</v>
      </c>
      <c r="C173" t="s">
        <v>35</v>
      </c>
      <c r="D173" t="s">
        <v>36</v>
      </c>
      <c r="E173">
        <v>2021</v>
      </c>
      <c r="F173" s="15">
        <v>97726</v>
      </c>
      <c r="G173" s="16">
        <v>50879280000</v>
      </c>
      <c r="H173" s="15">
        <v>142746</v>
      </c>
      <c r="I173" s="16">
        <v>54875180000</v>
      </c>
      <c r="J173" s="15">
        <v>77448</v>
      </c>
      <c r="K173" s="16">
        <v>27872750000</v>
      </c>
      <c r="L173" s="15">
        <v>317920</v>
      </c>
      <c r="M173" s="16">
        <v>133627210000</v>
      </c>
      <c r="N173" s="16">
        <v>420317.09</v>
      </c>
      <c r="O173" s="17">
        <v>0.145</v>
      </c>
    </row>
    <row r="174" spans="1:15">
      <c r="A174" t="s">
        <v>69</v>
      </c>
      <c r="B174" t="s">
        <v>70</v>
      </c>
      <c r="C174" t="s">
        <v>35</v>
      </c>
      <c r="D174" t="s">
        <v>36</v>
      </c>
      <c r="E174">
        <v>2022</v>
      </c>
      <c r="F174" s="15">
        <v>79929</v>
      </c>
      <c r="G174" s="16">
        <v>44890595000</v>
      </c>
      <c r="H174" s="15">
        <v>26653</v>
      </c>
      <c r="I174" s="16">
        <v>12826745000</v>
      </c>
      <c r="J174" s="15">
        <v>30945</v>
      </c>
      <c r="K174" s="16">
        <v>12314685000</v>
      </c>
      <c r="L174" s="15">
        <v>137527</v>
      </c>
      <c r="M174" s="16">
        <v>70032025000</v>
      </c>
      <c r="N174" s="16">
        <v>509223.83</v>
      </c>
      <c r="O174" s="17">
        <v>0.050164</v>
      </c>
    </row>
    <row r="175" spans="1:15">
      <c r="A175" t="s">
        <v>69</v>
      </c>
      <c r="B175" t="s">
        <v>70</v>
      </c>
      <c r="C175" t="s">
        <v>35</v>
      </c>
      <c r="D175" t="s">
        <v>36</v>
      </c>
      <c r="E175">
        <v>2023</v>
      </c>
      <c r="F175" s="15">
        <v>58441</v>
      </c>
      <c r="G175" s="16">
        <v>31640945000</v>
      </c>
      <c r="H175" s="15">
        <v>11370</v>
      </c>
      <c r="I175" s="16">
        <v>4255650000</v>
      </c>
      <c r="J175" s="15">
        <v>11094</v>
      </c>
      <c r="K175" s="16">
        <v>3577300000</v>
      </c>
      <c r="L175" s="15">
        <v>80905</v>
      </c>
      <c r="M175" s="16">
        <v>39473895000</v>
      </c>
      <c r="N175" s="16">
        <v>487904.27</v>
      </c>
      <c r="O175" s="17">
        <v>0.087184</v>
      </c>
    </row>
    <row r="176" spans="1:15">
      <c r="A176" t="s">
        <v>69</v>
      </c>
      <c r="B176" t="s">
        <v>70</v>
      </c>
      <c r="C176" t="s">
        <v>35</v>
      </c>
      <c r="D176" t="s">
        <v>36</v>
      </c>
      <c r="E176">
        <v>2024</v>
      </c>
      <c r="F176" s="15">
        <v>60686</v>
      </c>
      <c r="G176" s="16">
        <v>34093990000</v>
      </c>
      <c r="H176" s="15">
        <v>16548</v>
      </c>
      <c r="I176" s="16">
        <v>7636240000</v>
      </c>
      <c r="J176" s="15">
        <v>13101</v>
      </c>
      <c r="K176" s="16">
        <v>4253705000</v>
      </c>
      <c r="L176" s="15">
        <v>90335</v>
      </c>
      <c r="M176" s="16">
        <v>45983935000</v>
      </c>
      <c r="N176" s="16">
        <v>509037.86</v>
      </c>
      <c r="O176" s="17">
        <v>0.055343</v>
      </c>
    </row>
    <row r="177" spans="1:15">
      <c r="A177" t="s">
        <v>69</v>
      </c>
      <c r="B177" t="s">
        <v>70</v>
      </c>
      <c r="C177" t="s">
        <v>35</v>
      </c>
      <c r="D177" t="s">
        <v>36</v>
      </c>
      <c r="E177">
        <v>2025</v>
      </c>
      <c r="F177" s="15">
        <v>62800</v>
      </c>
      <c r="G177" s="16">
        <v>37957100000</v>
      </c>
      <c r="H177" s="15">
        <v>25976</v>
      </c>
      <c r="I177" s="16">
        <v>14208900000</v>
      </c>
      <c r="J177" s="15">
        <v>16765</v>
      </c>
      <c r="K177" s="16">
        <v>5956875000</v>
      </c>
      <c r="L177" s="15">
        <v>105541</v>
      </c>
      <c r="M177" s="16">
        <v>58122875000</v>
      </c>
      <c r="N177" s="16">
        <v>550713.7</v>
      </c>
      <c r="O177" s="17">
        <v>0.02473</v>
      </c>
    </row>
    <row r="178" spans="1:15">
      <c r="A178" t="s">
        <v>71</v>
      </c>
      <c r="B178" t="s">
        <v>72</v>
      </c>
      <c r="C178" t="s">
        <v>52</v>
      </c>
      <c r="D178" t="s">
        <v>53</v>
      </c>
      <c r="E178">
        <v>2018</v>
      </c>
      <c r="F178" s="15">
        <v>132104</v>
      </c>
      <c r="G178" s="16">
        <v>24958510000</v>
      </c>
      <c r="H178" s="15">
        <v>37110</v>
      </c>
      <c r="I178" s="16">
        <v>7534530000</v>
      </c>
      <c r="J178" s="15">
        <v>42808</v>
      </c>
      <c r="K178" s="16">
        <v>6844880000</v>
      </c>
      <c r="L178" s="15">
        <v>212022</v>
      </c>
      <c r="M178" s="16">
        <v>39337920000</v>
      </c>
      <c r="N178" s="16">
        <v>185536.97</v>
      </c>
      <c r="O178" s="17">
        <v>0.06862500000000001</v>
      </c>
    </row>
    <row r="179" spans="1:15">
      <c r="A179" t="s">
        <v>71</v>
      </c>
      <c r="B179" t="s">
        <v>72</v>
      </c>
      <c r="C179" t="s">
        <v>52</v>
      </c>
      <c r="D179" t="s">
        <v>53</v>
      </c>
      <c r="E179">
        <v>2019</v>
      </c>
      <c r="F179" s="15">
        <v>133386</v>
      </c>
      <c r="G179" s="16">
        <v>26389140000</v>
      </c>
      <c r="H179" s="15">
        <v>73082</v>
      </c>
      <c r="I179" s="16">
        <v>16000250000</v>
      </c>
      <c r="J179" s="15">
        <v>52889</v>
      </c>
      <c r="K179" s="16">
        <v>9332585000</v>
      </c>
      <c r="L179" s="15">
        <v>259357</v>
      </c>
      <c r="M179" s="16">
        <v>51721975000</v>
      </c>
      <c r="N179" s="16">
        <v>199423.86</v>
      </c>
      <c r="O179" s="17">
        <v>0.056864</v>
      </c>
    </row>
    <row r="180" spans="1:15">
      <c r="A180" t="s">
        <v>71</v>
      </c>
      <c r="B180" t="s">
        <v>72</v>
      </c>
      <c r="C180" t="s">
        <v>52</v>
      </c>
      <c r="D180" t="s">
        <v>53</v>
      </c>
      <c r="E180">
        <v>2020</v>
      </c>
      <c r="F180" s="15">
        <v>138158</v>
      </c>
      <c r="G180" s="16">
        <v>29222620000</v>
      </c>
      <c r="H180" s="15">
        <v>207231</v>
      </c>
      <c r="I180" s="16">
        <v>45565815000</v>
      </c>
      <c r="J180" s="15">
        <v>75281</v>
      </c>
      <c r="K180" s="16">
        <v>14658485000</v>
      </c>
      <c r="L180" s="15">
        <v>420670</v>
      </c>
      <c r="M180" s="16">
        <v>89446920000</v>
      </c>
      <c r="N180" s="16">
        <v>212629.66</v>
      </c>
      <c r="O180" s="17">
        <v>0.111342</v>
      </c>
    </row>
    <row r="181" spans="1:15">
      <c r="A181" t="s">
        <v>71</v>
      </c>
      <c r="B181" t="s">
        <v>72</v>
      </c>
      <c r="C181" t="s">
        <v>52</v>
      </c>
      <c r="D181" t="s">
        <v>53</v>
      </c>
      <c r="E181">
        <v>2021</v>
      </c>
      <c r="F181" s="15">
        <v>150788</v>
      </c>
      <c r="G181" s="16">
        <v>35674250000</v>
      </c>
      <c r="H181" s="15">
        <v>174886</v>
      </c>
      <c r="I181" s="16">
        <v>37144690000</v>
      </c>
      <c r="J181" s="15">
        <v>100227</v>
      </c>
      <c r="K181" s="16">
        <v>19392775000</v>
      </c>
      <c r="L181" s="15">
        <v>425901</v>
      </c>
      <c r="M181" s="16">
        <v>92211715000</v>
      </c>
      <c r="N181" s="16">
        <v>216509.74</v>
      </c>
      <c r="O181" s="17">
        <v>0.148944</v>
      </c>
    </row>
    <row r="182" spans="1:15">
      <c r="A182" t="s">
        <v>71</v>
      </c>
      <c r="B182" t="s">
        <v>72</v>
      </c>
      <c r="C182" t="s">
        <v>52</v>
      </c>
      <c r="D182" t="s">
        <v>53</v>
      </c>
      <c r="E182">
        <v>2022</v>
      </c>
      <c r="F182" s="15">
        <v>127236</v>
      </c>
      <c r="G182" s="16">
        <v>32316320000</v>
      </c>
      <c r="H182" s="15">
        <v>34016</v>
      </c>
      <c r="I182" s="16">
        <v>7977270000</v>
      </c>
      <c r="J182" s="15">
        <v>51447</v>
      </c>
      <c r="K182" s="16">
        <v>9815015000</v>
      </c>
      <c r="L182" s="15">
        <v>212699</v>
      </c>
      <c r="M182" s="16">
        <v>50108605000</v>
      </c>
      <c r="N182" s="16">
        <v>235584.58</v>
      </c>
      <c r="O182" s="17">
        <v>0.06274100000000001</v>
      </c>
    </row>
    <row r="183" spans="1:15">
      <c r="A183" t="s">
        <v>71</v>
      </c>
      <c r="B183" t="s">
        <v>72</v>
      </c>
      <c r="C183" t="s">
        <v>52</v>
      </c>
      <c r="D183" t="s">
        <v>53</v>
      </c>
      <c r="E183">
        <v>2023</v>
      </c>
      <c r="F183" s="15">
        <v>102534</v>
      </c>
      <c r="G183" s="16">
        <v>25523630000</v>
      </c>
      <c r="H183" s="15">
        <v>14300</v>
      </c>
      <c r="I183" s="16">
        <v>3969130000</v>
      </c>
      <c r="J183" s="15">
        <v>24630</v>
      </c>
      <c r="K183" s="16">
        <v>3990090000</v>
      </c>
      <c r="L183" s="15">
        <v>141464</v>
      </c>
      <c r="M183" s="16">
        <v>33482850000</v>
      </c>
      <c r="N183" s="16">
        <v>236688.13</v>
      </c>
      <c r="O183" s="17">
        <v>0.08839900000000001</v>
      </c>
    </row>
    <row r="184" spans="1:15">
      <c r="A184" t="s">
        <v>71</v>
      </c>
      <c r="B184" t="s">
        <v>72</v>
      </c>
      <c r="C184" t="s">
        <v>52</v>
      </c>
      <c r="D184" t="s">
        <v>53</v>
      </c>
      <c r="E184">
        <v>2024</v>
      </c>
      <c r="F184" s="15">
        <v>105614</v>
      </c>
      <c r="G184" s="16">
        <v>27532540000</v>
      </c>
      <c r="H184" s="15">
        <v>24908</v>
      </c>
      <c r="I184" s="16">
        <v>6160960000</v>
      </c>
      <c r="J184" s="15">
        <v>28518</v>
      </c>
      <c r="K184" s="16">
        <v>5324120000</v>
      </c>
      <c r="L184" s="15">
        <v>159040</v>
      </c>
      <c r="M184" s="16">
        <v>39017620000</v>
      </c>
      <c r="N184" s="16">
        <v>245332.12</v>
      </c>
      <c r="O184" s="17">
        <v>0.050737</v>
      </c>
    </row>
    <row r="185" spans="1:15">
      <c r="A185" t="s">
        <v>71</v>
      </c>
      <c r="B185" t="s">
        <v>72</v>
      </c>
      <c r="C185" t="s">
        <v>52</v>
      </c>
      <c r="D185" t="s">
        <v>53</v>
      </c>
      <c r="E185">
        <v>2025</v>
      </c>
      <c r="F185" s="15">
        <v>107241</v>
      </c>
      <c r="G185" s="16">
        <v>32839945000</v>
      </c>
      <c r="H185" s="15">
        <v>36765</v>
      </c>
      <c r="I185" s="16">
        <v>11374405000</v>
      </c>
      <c r="J185" s="15">
        <v>35578</v>
      </c>
      <c r="K185" s="16">
        <v>7636200000</v>
      </c>
      <c r="L185" s="15">
        <v>179584</v>
      </c>
      <c r="M185" s="16">
        <v>51850550000</v>
      </c>
      <c r="N185" s="16">
        <v>288725.89</v>
      </c>
      <c r="O185" s="17">
        <v>0.05854</v>
      </c>
    </row>
    <row r="186" spans="1:15">
      <c r="A186" t="s">
        <v>73</v>
      </c>
      <c r="B186" t="s">
        <v>74</v>
      </c>
      <c r="C186" t="s">
        <v>52</v>
      </c>
      <c r="D186" t="s">
        <v>58</v>
      </c>
      <c r="E186">
        <v>2018</v>
      </c>
      <c r="F186" s="15">
        <v>88464</v>
      </c>
      <c r="G186" s="16">
        <v>22007450000</v>
      </c>
      <c r="H186" s="15">
        <v>23032</v>
      </c>
      <c r="I186" s="16">
        <v>5367600000</v>
      </c>
      <c r="J186" s="15">
        <v>20914</v>
      </c>
      <c r="K186" s="16">
        <v>4386410000</v>
      </c>
      <c r="L186" s="15">
        <v>132410</v>
      </c>
      <c r="M186" s="16">
        <v>31761460000</v>
      </c>
      <c r="N186" s="16">
        <v>239872.06</v>
      </c>
      <c r="O186" s="17">
        <v>0.054614</v>
      </c>
    </row>
    <row r="187" spans="1:15">
      <c r="A187" t="s">
        <v>73</v>
      </c>
      <c r="B187" t="s">
        <v>74</v>
      </c>
      <c r="C187" t="s">
        <v>52</v>
      </c>
      <c r="D187" t="s">
        <v>58</v>
      </c>
      <c r="E187">
        <v>2019</v>
      </c>
      <c r="F187" s="15">
        <v>92077</v>
      </c>
      <c r="G187" s="16">
        <v>23986895000</v>
      </c>
      <c r="H187" s="15">
        <v>45596</v>
      </c>
      <c r="I187" s="16">
        <v>12055140000</v>
      </c>
      <c r="J187" s="15">
        <v>29805</v>
      </c>
      <c r="K187" s="16">
        <v>6838345000</v>
      </c>
      <c r="L187" s="15">
        <v>167478</v>
      </c>
      <c r="M187" s="16">
        <v>42880380000</v>
      </c>
      <c r="N187" s="16">
        <v>256035.9</v>
      </c>
      <c r="O187" s="17">
        <v>0.056821</v>
      </c>
    </row>
    <row r="188" spans="1:15">
      <c r="A188" t="s">
        <v>73</v>
      </c>
      <c r="B188" t="s">
        <v>74</v>
      </c>
      <c r="C188" t="s">
        <v>52</v>
      </c>
      <c r="D188" t="s">
        <v>58</v>
      </c>
      <c r="E188">
        <v>2020</v>
      </c>
      <c r="F188" s="15">
        <v>99117</v>
      </c>
      <c r="G188" s="16">
        <v>27499545000</v>
      </c>
      <c r="H188" s="15">
        <v>146039</v>
      </c>
      <c r="I188" s="16">
        <v>38020805000</v>
      </c>
      <c r="J188" s="15">
        <v>51635</v>
      </c>
      <c r="K188" s="16">
        <v>12403935000</v>
      </c>
      <c r="L188" s="15">
        <v>296791</v>
      </c>
      <c r="M188" s="16">
        <v>77924285000</v>
      </c>
      <c r="N188" s="16">
        <v>262556.09</v>
      </c>
      <c r="O188" s="17">
        <v>0.09583999999999999</v>
      </c>
    </row>
    <row r="189" spans="1:15">
      <c r="A189" t="s">
        <v>73</v>
      </c>
      <c r="B189" t="s">
        <v>74</v>
      </c>
      <c r="C189" t="s">
        <v>52</v>
      </c>
      <c r="D189" t="s">
        <v>58</v>
      </c>
      <c r="E189">
        <v>2021</v>
      </c>
      <c r="F189" s="15">
        <v>103218</v>
      </c>
      <c r="G189" s="16">
        <v>31942270000</v>
      </c>
      <c r="H189" s="15">
        <v>114056</v>
      </c>
      <c r="I189" s="16">
        <v>28032350000</v>
      </c>
      <c r="J189" s="15">
        <v>61894</v>
      </c>
      <c r="K189" s="16">
        <v>14924450000</v>
      </c>
      <c r="L189" s="15">
        <v>279168</v>
      </c>
      <c r="M189" s="16">
        <v>74899070000</v>
      </c>
      <c r="N189" s="16">
        <v>268293.89</v>
      </c>
      <c r="O189" s="17">
        <v>0.122799</v>
      </c>
    </row>
    <row r="190" spans="1:15">
      <c r="A190" t="s">
        <v>73</v>
      </c>
      <c r="B190" t="s">
        <v>74</v>
      </c>
      <c r="C190" t="s">
        <v>52</v>
      </c>
      <c r="D190" t="s">
        <v>58</v>
      </c>
      <c r="E190">
        <v>2022</v>
      </c>
      <c r="F190" s="15">
        <v>82006</v>
      </c>
      <c r="G190" s="16">
        <v>27484190000</v>
      </c>
      <c r="H190" s="15">
        <v>20375</v>
      </c>
      <c r="I190" s="16">
        <v>4820495000</v>
      </c>
      <c r="J190" s="15">
        <v>21954</v>
      </c>
      <c r="K190" s="16">
        <v>5609810000</v>
      </c>
      <c r="L190" s="15">
        <v>124335</v>
      </c>
      <c r="M190" s="16">
        <v>37914495000</v>
      </c>
      <c r="N190" s="16">
        <v>304938.23</v>
      </c>
      <c r="O190" s="17">
        <v>0.044687</v>
      </c>
    </row>
    <row r="191" spans="1:15">
      <c r="A191" t="s">
        <v>73</v>
      </c>
      <c r="B191" t="s">
        <v>74</v>
      </c>
      <c r="C191" t="s">
        <v>52</v>
      </c>
      <c r="D191" t="s">
        <v>58</v>
      </c>
      <c r="E191">
        <v>2023</v>
      </c>
      <c r="F191" s="15">
        <v>65353</v>
      </c>
      <c r="G191" s="16">
        <v>20944985000</v>
      </c>
      <c r="H191" s="15">
        <v>7682</v>
      </c>
      <c r="I191" s="16">
        <v>2143880000</v>
      </c>
      <c r="J191" s="15">
        <v>8176</v>
      </c>
      <c r="K191" s="16">
        <v>1771400000</v>
      </c>
      <c r="L191" s="15">
        <v>81211</v>
      </c>
      <c r="M191" s="16">
        <v>24860265000</v>
      </c>
      <c r="N191" s="16">
        <v>306119.43</v>
      </c>
      <c r="O191" s="17">
        <v>0.042144</v>
      </c>
    </row>
    <row r="192" spans="1:15">
      <c r="A192" t="s">
        <v>73</v>
      </c>
      <c r="B192" t="s">
        <v>74</v>
      </c>
      <c r="C192" t="s">
        <v>52</v>
      </c>
      <c r="D192" t="s">
        <v>58</v>
      </c>
      <c r="E192">
        <v>2024</v>
      </c>
      <c r="F192" s="15">
        <v>68577</v>
      </c>
      <c r="G192" s="16">
        <v>21801795000</v>
      </c>
      <c r="H192" s="15">
        <v>10815</v>
      </c>
      <c r="I192" s="16">
        <v>3327475000</v>
      </c>
      <c r="J192" s="15">
        <v>9838</v>
      </c>
      <c r="K192" s="16">
        <v>2208010000</v>
      </c>
      <c r="L192" s="15">
        <v>89230</v>
      </c>
      <c r="M192" s="16">
        <v>27337280000</v>
      </c>
      <c r="N192" s="16">
        <v>306368.71</v>
      </c>
      <c r="O192" s="17">
        <v>0.04599</v>
      </c>
    </row>
    <row r="193" spans="1:15">
      <c r="A193" t="s">
        <v>73</v>
      </c>
      <c r="B193" t="s">
        <v>74</v>
      </c>
      <c r="C193" t="s">
        <v>52</v>
      </c>
      <c r="D193" t="s">
        <v>58</v>
      </c>
      <c r="E193">
        <v>2025</v>
      </c>
      <c r="F193" s="15">
        <v>68946</v>
      </c>
      <c r="G193" s="16">
        <v>24045410000</v>
      </c>
      <c r="H193" s="15">
        <v>17012</v>
      </c>
      <c r="I193" s="16">
        <v>6373890000</v>
      </c>
      <c r="J193" s="15">
        <v>12751</v>
      </c>
      <c r="K193" s="16">
        <v>3085125000</v>
      </c>
      <c r="L193" s="15">
        <v>98709</v>
      </c>
      <c r="M193" s="16">
        <v>33504425000</v>
      </c>
      <c r="N193" s="16">
        <v>339426.24</v>
      </c>
      <c r="O193" s="17">
        <v>0.032849</v>
      </c>
    </row>
    <row r="194" spans="1:15">
      <c r="A194" t="s">
        <v>75</v>
      </c>
      <c r="B194" t="s">
        <v>76</v>
      </c>
      <c r="C194" t="s">
        <v>17</v>
      </c>
      <c r="D194" t="s">
        <v>18</v>
      </c>
      <c r="E194">
        <v>2018</v>
      </c>
      <c r="F194" s="15">
        <v>29922</v>
      </c>
      <c r="G194" s="16">
        <v>5038820000</v>
      </c>
      <c r="H194" s="15">
        <v>11903</v>
      </c>
      <c r="I194" s="16">
        <v>1576885000</v>
      </c>
      <c r="J194" s="15">
        <v>5290</v>
      </c>
      <c r="K194" s="16">
        <v>762170000</v>
      </c>
      <c r="L194" s="15">
        <v>47115</v>
      </c>
      <c r="M194" s="16">
        <v>7377875000</v>
      </c>
      <c r="N194" s="16">
        <v>156592.91</v>
      </c>
      <c r="O194" s="17">
        <v>0.05883</v>
      </c>
    </row>
    <row r="195" spans="1:15">
      <c r="A195" t="s">
        <v>75</v>
      </c>
      <c r="B195" t="s">
        <v>76</v>
      </c>
      <c r="C195" t="s">
        <v>17</v>
      </c>
      <c r="D195" t="s">
        <v>18</v>
      </c>
      <c r="E195">
        <v>2019</v>
      </c>
      <c r="F195" s="15">
        <v>31779</v>
      </c>
      <c r="G195" s="16">
        <v>5477985000</v>
      </c>
      <c r="H195" s="15">
        <v>13946</v>
      </c>
      <c r="I195" s="16">
        <v>2516950000</v>
      </c>
      <c r="J195" s="15">
        <v>5892</v>
      </c>
      <c r="K195" s="16">
        <v>1041040000</v>
      </c>
      <c r="L195" s="15">
        <v>51617</v>
      </c>
      <c r="M195" s="16">
        <v>9035975000</v>
      </c>
      <c r="N195" s="16">
        <v>175058.12</v>
      </c>
      <c r="O195" s="17">
        <v>0.031616</v>
      </c>
    </row>
    <row r="196" spans="1:15">
      <c r="A196" t="s">
        <v>75</v>
      </c>
      <c r="B196" t="s">
        <v>76</v>
      </c>
      <c r="C196" t="s">
        <v>17</v>
      </c>
      <c r="D196" t="s">
        <v>18</v>
      </c>
      <c r="E196">
        <v>2020</v>
      </c>
      <c r="F196" s="15">
        <v>35572</v>
      </c>
      <c r="G196" s="16">
        <v>6706270000</v>
      </c>
      <c r="H196" s="15">
        <v>30738</v>
      </c>
      <c r="I196" s="16">
        <v>5987700000</v>
      </c>
      <c r="J196" s="15">
        <v>7225</v>
      </c>
      <c r="K196" s="16">
        <v>1433805000</v>
      </c>
      <c r="L196" s="15">
        <v>73535</v>
      </c>
      <c r="M196" s="16">
        <v>14127775000</v>
      </c>
      <c r="N196" s="16">
        <v>192123.14</v>
      </c>
      <c r="O196" s="17">
        <v>0.07939</v>
      </c>
    </row>
    <row r="197" spans="1:15">
      <c r="A197" t="s">
        <v>75</v>
      </c>
      <c r="B197" t="s">
        <v>76</v>
      </c>
      <c r="C197" t="s">
        <v>17</v>
      </c>
      <c r="D197" t="s">
        <v>18</v>
      </c>
      <c r="E197">
        <v>2021</v>
      </c>
      <c r="F197" s="15">
        <v>39147</v>
      </c>
      <c r="G197" s="16">
        <v>8376025000</v>
      </c>
      <c r="H197" s="15">
        <v>28933</v>
      </c>
      <c r="I197" s="16">
        <v>5570775000</v>
      </c>
      <c r="J197" s="15">
        <v>10566</v>
      </c>
      <c r="K197" s="16">
        <v>1936640000</v>
      </c>
      <c r="L197" s="15">
        <v>78646</v>
      </c>
      <c r="M197" s="16">
        <v>15883440000</v>
      </c>
      <c r="N197" s="16">
        <v>201961.19</v>
      </c>
      <c r="O197" s="17">
        <v>0.154781</v>
      </c>
    </row>
    <row r="198" spans="1:15">
      <c r="A198" t="s">
        <v>75</v>
      </c>
      <c r="B198" t="s">
        <v>76</v>
      </c>
      <c r="C198" t="s">
        <v>17</v>
      </c>
      <c r="D198" t="s">
        <v>18</v>
      </c>
      <c r="E198">
        <v>2022</v>
      </c>
      <c r="F198" s="15">
        <v>33645</v>
      </c>
      <c r="G198" s="16">
        <v>7840335000</v>
      </c>
      <c r="H198" s="15">
        <v>10831</v>
      </c>
      <c r="I198" s="16">
        <v>2222975000</v>
      </c>
      <c r="J198" s="15">
        <v>7960</v>
      </c>
      <c r="K198" s="16">
        <v>1453180000</v>
      </c>
      <c r="L198" s="15">
        <v>52436</v>
      </c>
      <c r="M198" s="16">
        <v>11516490000</v>
      </c>
      <c r="N198" s="16">
        <v>219629.45</v>
      </c>
      <c r="O198" s="17">
        <v>0.074105</v>
      </c>
    </row>
    <row r="199" spans="1:15">
      <c r="A199" t="s">
        <v>75</v>
      </c>
      <c r="B199" t="s">
        <v>76</v>
      </c>
      <c r="C199" t="s">
        <v>17</v>
      </c>
      <c r="D199" t="s">
        <v>18</v>
      </c>
      <c r="E199">
        <v>2023</v>
      </c>
      <c r="F199" s="15">
        <v>27486</v>
      </c>
      <c r="G199" s="16">
        <v>6179690000</v>
      </c>
      <c r="H199" s="15">
        <v>7219</v>
      </c>
      <c r="I199" s="16">
        <v>1127995000</v>
      </c>
      <c r="J199" s="15">
        <v>4342</v>
      </c>
      <c r="K199" s="16">
        <v>724630000</v>
      </c>
      <c r="L199" s="15">
        <v>39047</v>
      </c>
      <c r="M199" s="16">
        <v>8032315000</v>
      </c>
      <c r="N199" s="16">
        <v>205708.89</v>
      </c>
      <c r="O199" s="17">
        <v>0.10409</v>
      </c>
    </row>
    <row r="200" spans="1:15">
      <c r="A200" t="s">
        <v>75</v>
      </c>
      <c r="B200" t="s">
        <v>76</v>
      </c>
      <c r="C200" t="s">
        <v>17</v>
      </c>
      <c r="D200" t="s">
        <v>18</v>
      </c>
      <c r="E200">
        <v>2024</v>
      </c>
      <c r="F200" s="15">
        <v>28640</v>
      </c>
      <c r="G200" s="16">
        <v>6396880000</v>
      </c>
      <c r="H200" s="15">
        <v>8970</v>
      </c>
      <c r="I200" s="16">
        <v>1543400000</v>
      </c>
      <c r="J200" s="15">
        <v>4498</v>
      </c>
      <c r="K200" s="16">
        <v>755390000</v>
      </c>
      <c r="L200" s="15">
        <v>42108</v>
      </c>
      <c r="M200" s="16">
        <v>8695670000</v>
      </c>
      <c r="N200" s="16">
        <v>206508.74</v>
      </c>
      <c r="O200" s="17">
        <v>-0.006794</v>
      </c>
    </row>
    <row r="201" spans="1:15">
      <c r="A201" t="s">
        <v>75</v>
      </c>
      <c r="B201" t="s">
        <v>76</v>
      </c>
      <c r="C201" t="s">
        <v>17</v>
      </c>
      <c r="D201" t="s">
        <v>18</v>
      </c>
      <c r="E201">
        <v>2025</v>
      </c>
      <c r="F201" s="15">
        <v>30006</v>
      </c>
      <c r="G201" s="16">
        <v>6973120000</v>
      </c>
      <c r="H201" s="15">
        <v>11099</v>
      </c>
      <c r="I201" s="16">
        <v>2199455000</v>
      </c>
      <c r="J201" s="15">
        <v>5343</v>
      </c>
      <c r="K201" s="16">
        <v>988695000</v>
      </c>
      <c r="L201" s="15">
        <v>46448</v>
      </c>
      <c r="M201" s="16">
        <v>10161270000</v>
      </c>
      <c r="N201" s="16">
        <v>218766.58</v>
      </c>
      <c r="O201" s="17">
        <v>0.030845</v>
      </c>
    </row>
    <row r="202" spans="1:15">
      <c r="A202" t="s">
        <v>77</v>
      </c>
      <c r="B202" t="s">
        <v>78</v>
      </c>
      <c r="C202" t="s">
        <v>52</v>
      </c>
      <c r="D202" t="s">
        <v>58</v>
      </c>
      <c r="E202">
        <v>2018</v>
      </c>
      <c r="F202" s="15">
        <v>90705</v>
      </c>
      <c r="G202" s="16">
        <v>17223595000</v>
      </c>
      <c r="H202" s="15">
        <v>23218</v>
      </c>
      <c r="I202" s="16">
        <v>4135050000</v>
      </c>
      <c r="J202" s="15">
        <v>18275</v>
      </c>
      <c r="K202" s="16">
        <v>3273865000</v>
      </c>
      <c r="L202" s="15">
        <v>132198</v>
      </c>
      <c r="M202" s="16">
        <v>24632510000</v>
      </c>
      <c r="N202" s="16">
        <v>186330.43</v>
      </c>
      <c r="O202" s="17">
        <v>0.06051</v>
      </c>
    </row>
    <row r="203" spans="1:15">
      <c r="A203" t="s">
        <v>77</v>
      </c>
      <c r="B203" t="s">
        <v>78</v>
      </c>
      <c r="C203" t="s">
        <v>52</v>
      </c>
      <c r="D203" t="s">
        <v>58</v>
      </c>
      <c r="E203">
        <v>2019</v>
      </c>
      <c r="F203" s="15">
        <v>93134</v>
      </c>
      <c r="G203" s="16">
        <v>18342220000</v>
      </c>
      <c r="H203" s="15">
        <v>41799</v>
      </c>
      <c r="I203" s="16">
        <v>9538675000</v>
      </c>
      <c r="J203" s="15">
        <v>24801</v>
      </c>
      <c r="K203" s="16">
        <v>4881705000</v>
      </c>
      <c r="L203" s="15">
        <v>159734</v>
      </c>
      <c r="M203" s="16">
        <v>32762600000</v>
      </c>
      <c r="N203" s="16">
        <v>205107.24</v>
      </c>
      <c r="O203" s="17">
        <v>0.060645</v>
      </c>
    </row>
    <row r="204" spans="1:15">
      <c r="A204" t="s">
        <v>77</v>
      </c>
      <c r="B204" t="s">
        <v>78</v>
      </c>
      <c r="C204" t="s">
        <v>52</v>
      </c>
      <c r="D204" t="s">
        <v>58</v>
      </c>
      <c r="E204">
        <v>2020</v>
      </c>
      <c r="F204" s="15">
        <v>102574</v>
      </c>
      <c r="G204" s="16">
        <v>22159080000</v>
      </c>
      <c r="H204" s="15">
        <v>120152</v>
      </c>
      <c r="I204" s="16">
        <v>26899520000</v>
      </c>
      <c r="J204" s="15">
        <v>36452</v>
      </c>
      <c r="K204" s="16">
        <v>7796930000</v>
      </c>
      <c r="L204" s="15">
        <v>259178</v>
      </c>
      <c r="M204" s="16">
        <v>56855530000</v>
      </c>
      <c r="N204" s="16">
        <v>219368.66</v>
      </c>
      <c r="O204" s="17">
        <v>0.104047</v>
      </c>
    </row>
    <row r="205" spans="1:15">
      <c r="A205" t="s">
        <v>77</v>
      </c>
      <c r="B205" t="s">
        <v>78</v>
      </c>
      <c r="C205" t="s">
        <v>52</v>
      </c>
      <c r="D205" t="s">
        <v>58</v>
      </c>
      <c r="E205">
        <v>2021</v>
      </c>
      <c r="F205" s="15">
        <v>107585</v>
      </c>
      <c r="G205" s="16">
        <v>25459385000</v>
      </c>
      <c r="H205" s="15">
        <v>100636</v>
      </c>
      <c r="I205" s="16">
        <v>21109810000</v>
      </c>
      <c r="J205" s="15">
        <v>47797</v>
      </c>
      <c r="K205" s="16">
        <v>9816585000</v>
      </c>
      <c r="L205" s="15">
        <v>256018</v>
      </c>
      <c r="M205" s="16">
        <v>56385780000</v>
      </c>
      <c r="N205" s="16">
        <v>220241.47</v>
      </c>
      <c r="O205" s="17">
        <v>0.151975</v>
      </c>
    </row>
    <row r="206" spans="1:15">
      <c r="A206" t="s">
        <v>77</v>
      </c>
      <c r="B206" t="s">
        <v>78</v>
      </c>
      <c r="C206" t="s">
        <v>52</v>
      </c>
      <c r="D206" t="s">
        <v>58</v>
      </c>
      <c r="E206">
        <v>2022</v>
      </c>
      <c r="F206" s="15">
        <v>91059</v>
      </c>
      <c r="G206" s="16">
        <v>23738655000</v>
      </c>
      <c r="H206" s="15">
        <v>22168</v>
      </c>
      <c r="I206" s="16">
        <v>5268090000</v>
      </c>
      <c r="J206" s="15">
        <v>26286</v>
      </c>
      <c r="K206" s="16">
        <v>5409120000</v>
      </c>
      <c r="L206" s="15">
        <v>139513</v>
      </c>
      <c r="M206" s="16">
        <v>34415865000</v>
      </c>
      <c r="N206" s="16">
        <v>246685.72</v>
      </c>
      <c r="O206" s="17">
        <v>0.08225200000000001</v>
      </c>
    </row>
    <row r="207" spans="1:15">
      <c r="A207" t="s">
        <v>77</v>
      </c>
      <c r="B207" t="s">
        <v>78</v>
      </c>
      <c r="C207" t="s">
        <v>52</v>
      </c>
      <c r="D207" t="s">
        <v>58</v>
      </c>
      <c r="E207">
        <v>2023</v>
      </c>
      <c r="F207" s="15">
        <v>74981</v>
      </c>
      <c r="G207" s="16">
        <v>19527995000</v>
      </c>
      <c r="H207" s="15">
        <v>10474</v>
      </c>
      <c r="I207" s="16">
        <v>2411350000</v>
      </c>
      <c r="J207" s="15">
        <v>12230</v>
      </c>
      <c r="K207" s="16">
        <v>2517170000</v>
      </c>
      <c r="L207" s="15">
        <v>97685</v>
      </c>
      <c r="M207" s="16">
        <v>24456515000</v>
      </c>
      <c r="N207" s="16">
        <v>250361.01</v>
      </c>
      <c r="O207" s="17">
        <v>0.070647</v>
      </c>
    </row>
    <row r="208" spans="1:15">
      <c r="A208" t="s">
        <v>77</v>
      </c>
      <c r="B208" t="s">
        <v>78</v>
      </c>
      <c r="C208" t="s">
        <v>52</v>
      </c>
      <c r="D208" t="s">
        <v>58</v>
      </c>
      <c r="E208">
        <v>2024</v>
      </c>
      <c r="F208" s="15">
        <v>77048</v>
      </c>
      <c r="G208" s="16">
        <v>20577810000</v>
      </c>
      <c r="H208" s="15">
        <v>17566</v>
      </c>
      <c r="I208" s="16">
        <v>4716210000</v>
      </c>
      <c r="J208" s="15">
        <v>15086</v>
      </c>
      <c r="K208" s="16">
        <v>2965470000</v>
      </c>
      <c r="L208" s="15">
        <v>109700</v>
      </c>
      <c r="M208" s="16">
        <v>28259490000</v>
      </c>
      <c r="N208" s="16">
        <v>257607.02</v>
      </c>
      <c r="O208" s="17">
        <v>0.053062</v>
      </c>
    </row>
    <row r="209" spans="1:15">
      <c r="A209" t="s">
        <v>77</v>
      </c>
      <c r="B209" t="s">
        <v>78</v>
      </c>
      <c r="C209" t="s">
        <v>52</v>
      </c>
      <c r="D209" t="s">
        <v>58</v>
      </c>
      <c r="E209">
        <v>2025</v>
      </c>
      <c r="F209" s="15">
        <v>79711</v>
      </c>
      <c r="G209" s="16">
        <v>22240705000</v>
      </c>
      <c r="H209" s="15">
        <v>24885</v>
      </c>
      <c r="I209" s="16">
        <v>7585905000</v>
      </c>
      <c r="J209" s="15">
        <v>18826</v>
      </c>
      <c r="K209" s="16">
        <v>3821640000</v>
      </c>
      <c r="L209" s="15">
        <v>123422</v>
      </c>
      <c r="M209" s="16">
        <v>33648250000</v>
      </c>
      <c r="N209" s="16">
        <v>272627.65</v>
      </c>
      <c r="O209" s="17">
        <v>0.046366</v>
      </c>
    </row>
    <row r="210" spans="1:15">
      <c r="A210" t="s">
        <v>79</v>
      </c>
      <c r="B210" t="s">
        <v>80</v>
      </c>
      <c r="C210" t="s">
        <v>21</v>
      </c>
      <c r="D210" t="s">
        <v>25</v>
      </c>
      <c r="E210">
        <v>2018</v>
      </c>
      <c r="F210" s="15">
        <v>15206</v>
      </c>
      <c r="G210" s="16">
        <v>3936460000</v>
      </c>
      <c r="H210" s="15">
        <v>3211</v>
      </c>
      <c r="I210" s="16">
        <v>702795000</v>
      </c>
      <c r="J210" s="15">
        <v>4292</v>
      </c>
      <c r="K210" s="16">
        <v>874310000</v>
      </c>
      <c r="L210" s="15">
        <v>22709</v>
      </c>
      <c r="M210" s="16">
        <v>5513565000</v>
      </c>
      <c r="N210" s="16">
        <v>242792.06</v>
      </c>
      <c r="O210" s="17">
        <v>0.044876</v>
      </c>
    </row>
    <row r="211" spans="1:15">
      <c r="A211" t="s">
        <v>79</v>
      </c>
      <c r="B211" t="s">
        <v>80</v>
      </c>
      <c r="C211" t="s">
        <v>21</v>
      </c>
      <c r="D211" t="s">
        <v>25</v>
      </c>
      <c r="E211">
        <v>2019</v>
      </c>
      <c r="F211" s="15">
        <v>16123</v>
      </c>
      <c r="G211" s="16">
        <v>4400495000</v>
      </c>
      <c r="H211" s="15">
        <v>5938</v>
      </c>
      <c r="I211" s="16">
        <v>1671420000</v>
      </c>
      <c r="J211" s="15">
        <v>5390</v>
      </c>
      <c r="K211" s="16">
        <v>1299690000</v>
      </c>
      <c r="L211" s="15">
        <v>27451</v>
      </c>
      <c r="M211" s="16">
        <v>7371605000</v>
      </c>
      <c r="N211" s="16">
        <v>268536.85</v>
      </c>
      <c r="O211" s="17">
        <v>0.068148</v>
      </c>
    </row>
    <row r="212" spans="1:15">
      <c r="A212" t="s">
        <v>79</v>
      </c>
      <c r="B212" t="s">
        <v>80</v>
      </c>
      <c r="C212" t="s">
        <v>21</v>
      </c>
      <c r="D212" t="s">
        <v>25</v>
      </c>
      <c r="E212">
        <v>2020</v>
      </c>
      <c r="F212" s="15">
        <v>18867</v>
      </c>
      <c r="G212" s="16">
        <v>5895745000</v>
      </c>
      <c r="H212" s="15">
        <v>20631</v>
      </c>
      <c r="I212" s="16">
        <v>5674555000</v>
      </c>
      <c r="J212" s="15">
        <v>8642</v>
      </c>
      <c r="K212" s="16">
        <v>2291190000</v>
      </c>
      <c r="L212" s="15">
        <v>48140</v>
      </c>
      <c r="M212" s="16">
        <v>13861490000</v>
      </c>
      <c r="N212" s="16">
        <v>287941.21</v>
      </c>
      <c r="O212" s="17">
        <v>0.149749</v>
      </c>
    </row>
    <row r="213" spans="1:15">
      <c r="A213" t="s">
        <v>79</v>
      </c>
      <c r="B213" t="s">
        <v>80</v>
      </c>
      <c r="C213" t="s">
        <v>21</v>
      </c>
      <c r="D213" t="s">
        <v>25</v>
      </c>
      <c r="E213">
        <v>2021</v>
      </c>
      <c r="F213" s="15">
        <v>18714</v>
      </c>
      <c r="G213" s="16">
        <v>7070260000</v>
      </c>
      <c r="H213" s="15">
        <v>16691</v>
      </c>
      <c r="I213" s="16">
        <v>4495665000</v>
      </c>
      <c r="J213" s="15">
        <v>12279</v>
      </c>
      <c r="K213" s="16">
        <v>3629895000</v>
      </c>
      <c r="L213" s="15">
        <v>47684</v>
      </c>
      <c r="M213" s="16">
        <v>15195820000</v>
      </c>
      <c r="N213" s="16">
        <v>318677.54</v>
      </c>
      <c r="O213" s="17">
        <v>0.241079</v>
      </c>
    </row>
    <row r="214" spans="1:15">
      <c r="A214" t="s">
        <v>79</v>
      </c>
      <c r="B214" t="s">
        <v>80</v>
      </c>
      <c r="C214" t="s">
        <v>21</v>
      </c>
      <c r="D214" t="s">
        <v>25</v>
      </c>
      <c r="E214">
        <v>2022</v>
      </c>
      <c r="F214" s="15">
        <v>14037</v>
      </c>
      <c r="G214" s="16">
        <v>6314185000</v>
      </c>
      <c r="H214" s="15">
        <v>3512</v>
      </c>
      <c r="I214" s="16">
        <v>1172730000</v>
      </c>
      <c r="J214" s="15">
        <v>5768</v>
      </c>
      <c r="K214" s="16">
        <v>2038050000</v>
      </c>
      <c r="L214" s="15">
        <v>23317</v>
      </c>
      <c r="M214" s="16">
        <v>9524965000</v>
      </c>
      <c r="N214" s="16">
        <v>408498.73</v>
      </c>
      <c r="O214" s="17">
        <v>0.104035</v>
      </c>
    </row>
    <row r="215" spans="1:15">
      <c r="A215" t="s">
        <v>79</v>
      </c>
      <c r="B215" t="s">
        <v>80</v>
      </c>
      <c r="C215" t="s">
        <v>21</v>
      </c>
      <c r="D215" t="s">
        <v>25</v>
      </c>
      <c r="E215">
        <v>2023</v>
      </c>
      <c r="F215" s="15">
        <v>10662</v>
      </c>
      <c r="G215" s="16">
        <v>4429370000</v>
      </c>
      <c r="H215" s="15">
        <v>1439</v>
      </c>
      <c r="I215" s="16">
        <v>457125000</v>
      </c>
      <c r="J215" s="15">
        <v>2024</v>
      </c>
      <c r="K215" s="16">
        <v>563130000</v>
      </c>
      <c r="L215" s="15">
        <v>14125</v>
      </c>
      <c r="M215" s="16">
        <v>5449625000</v>
      </c>
      <c r="N215" s="16">
        <v>385814.16</v>
      </c>
      <c r="O215" s="17">
        <v>0.041185</v>
      </c>
    </row>
    <row r="216" spans="1:15">
      <c r="A216" t="s">
        <v>79</v>
      </c>
      <c r="B216" t="s">
        <v>80</v>
      </c>
      <c r="C216" t="s">
        <v>21</v>
      </c>
      <c r="D216" t="s">
        <v>25</v>
      </c>
      <c r="E216">
        <v>2024</v>
      </c>
      <c r="F216" s="15">
        <v>10661</v>
      </c>
      <c r="G216" s="16">
        <v>4504585000</v>
      </c>
      <c r="H216" s="15">
        <v>2427</v>
      </c>
      <c r="I216" s="16">
        <v>888425000</v>
      </c>
      <c r="J216" s="15">
        <v>2581</v>
      </c>
      <c r="K216" s="16">
        <v>753415000</v>
      </c>
      <c r="L216" s="15">
        <v>15669</v>
      </c>
      <c r="M216" s="16">
        <v>6146425000</v>
      </c>
      <c r="N216" s="16">
        <v>392266.58</v>
      </c>
      <c r="O216" s="17">
        <v>0.07769</v>
      </c>
    </row>
    <row r="217" spans="1:15">
      <c r="A217" t="s">
        <v>79</v>
      </c>
      <c r="B217" t="s">
        <v>80</v>
      </c>
      <c r="C217" t="s">
        <v>21</v>
      </c>
      <c r="D217" t="s">
        <v>25</v>
      </c>
      <c r="E217">
        <v>2025</v>
      </c>
      <c r="F217" s="15">
        <v>11766</v>
      </c>
      <c r="G217" s="16">
        <v>5329190000</v>
      </c>
      <c r="H217" s="15">
        <v>3796</v>
      </c>
      <c r="I217" s="16">
        <v>1826900000</v>
      </c>
      <c r="J217" s="15">
        <v>3399</v>
      </c>
      <c r="K217" s="16">
        <v>1033825000</v>
      </c>
      <c r="L217" s="15">
        <v>18961</v>
      </c>
      <c r="M217" s="16">
        <v>8189915000</v>
      </c>
      <c r="N217" s="16">
        <v>431934.76</v>
      </c>
      <c r="O217" s="17">
        <v>-0.012407</v>
      </c>
    </row>
    <row r="218" spans="1:15">
      <c r="A218" t="s">
        <v>81</v>
      </c>
      <c r="B218" t="s">
        <v>82</v>
      </c>
      <c r="C218" t="s">
        <v>52</v>
      </c>
      <c r="D218" t="s">
        <v>58</v>
      </c>
      <c r="E218">
        <v>2018</v>
      </c>
      <c r="F218" s="15">
        <v>27652</v>
      </c>
      <c r="G218" s="16">
        <v>5348330000</v>
      </c>
      <c r="H218" s="15">
        <v>6896</v>
      </c>
      <c r="I218" s="16">
        <v>1123310000</v>
      </c>
      <c r="J218" s="15">
        <v>5724</v>
      </c>
      <c r="K218" s="16">
        <v>938050000</v>
      </c>
      <c r="L218" s="15">
        <v>40272</v>
      </c>
      <c r="M218" s="16">
        <v>7409690000</v>
      </c>
      <c r="N218" s="16">
        <v>183991.11</v>
      </c>
      <c r="O218" s="17">
        <v>0.052944</v>
      </c>
    </row>
    <row r="219" spans="1:15">
      <c r="A219" t="s">
        <v>81</v>
      </c>
      <c r="B219" t="s">
        <v>82</v>
      </c>
      <c r="C219" t="s">
        <v>52</v>
      </c>
      <c r="D219" t="s">
        <v>58</v>
      </c>
      <c r="E219">
        <v>2019</v>
      </c>
      <c r="F219" s="15">
        <v>28026</v>
      </c>
      <c r="G219" s="16">
        <v>5633590000</v>
      </c>
      <c r="H219" s="15">
        <v>12710</v>
      </c>
      <c r="I219" s="16">
        <v>2692230000</v>
      </c>
      <c r="J219" s="15">
        <v>7369</v>
      </c>
      <c r="K219" s="16">
        <v>1387535000</v>
      </c>
      <c r="L219" s="15">
        <v>48105</v>
      </c>
      <c r="M219" s="16">
        <v>9713355000</v>
      </c>
      <c r="N219" s="16">
        <v>201919.86</v>
      </c>
      <c r="O219" s="17">
        <v>0.044073</v>
      </c>
    </row>
    <row r="220" spans="1:15">
      <c r="A220" t="s">
        <v>81</v>
      </c>
      <c r="B220" t="s">
        <v>82</v>
      </c>
      <c r="C220" t="s">
        <v>52</v>
      </c>
      <c r="D220" t="s">
        <v>58</v>
      </c>
      <c r="E220">
        <v>2020</v>
      </c>
      <c r="F220" s="15">
        <v>29862</v>
      </c>
      <c r="G220" s="16">
        <v>6475470000</v>
      </c>
      <c r="H220" s="15">
        <v>37559</v>
      </c>
      <c r="I220" s="16">
        <v>8206055000</v>
      </c>
      <c r="J220" s="15">
        <v>12754</v>
      </c>
      <c r="K220" s="16">
        <v>2570270000</v>
      </c>
      <c r="L220" s="15">
        <v>80175</v>
      </c>
      <c r="M220" s="16">
        <v>17251795000</v>
      </c>
      <c r="N220" s="16">
        <v>215176.74</v>
      </c>
      <c r="O220" s="17">
        <v>0.11313</v>
      </c>
    </row>
    <row r="221" spans="1:15">
      <c r="A221" t="s">
        <v>81</v>
      </c>
      <c r="B221" t="s">
        <v>82</v>
      </c>
      <c r="C221" t="s">
        <v>52</v>
      </c>
      <c r="D221" t="s">
        <v>58</v>
      </c>
      <c r="E221">
        <v>2021</v>
      </c>
      <c r="F221" s="15">
        <v>30837</v>
      </c>
      <c r="G221" s="16">
        <v>7208165000</v>
      </c>
      <c r="H221" s="15">
        <v>28717</v>
      </c>
      <c r="I221" s="16">
        <v>5795455000</v>
      </c>
      <c r="J221" s="15">
        <v>14981</v>
      </c>
      <c r="K221" s="16">
        <v>2966035000</v>
      </c>
      <c r="L221" s="15">
        <v>74535</v>
      </c>
      <c r="M221" s="16">
        <v>15969655000</v>
      </c>
      <c r="N221" s="16">
        <v>214257.13</v>
      </c>
      <c r="O221" s="17">
        <v>0.1446</v>
      </c>
    </row>
    <row r="222" spans="1:15">
      <c r="A222" t="s">
        <v>81</v>
      </c>
      <c r="B222" t="s">
        <v>82</v>
      </c>
      <c r="C222" t="s">
        <v>52</v>
      </c>
      <c r="D222" t="s">
        <v>58</v>
      </c>
      <c r="E222">
        <v>2022</v>
      </c>
      <c r="F222" s="15">
        <v>26325</v>
      </c>
      <c r="G222" s="16">
        <v>7169545000</v>
      </c>
      <c r="H222" s="15">
        <v>6121</v>
      </c>
      <c r="I222" s="16">
        <v>1357795000</v>
      </c>
      <c r="J222" s="15">
        <v>7005</v>
      </c>
      <c r="K222" s="16">
        <v>1394635000</v>
      </c>
      <c r="L222" s="15">
        <v>39451</v>
      </c>
      <c r="M222" s="16">
        <v>9921975000</v>
      </c>
      <c r="N222" s="16">
        <v>251501.23</v>
      </c>
      <c r="O222" s="17">
        <v>0.083521</v>
      </c>
    </row>
    <row r="223" spans="1:15">
      <c r="A223" t="s">
        <v>81</v>
      </c>
      <c r="B223" t="s">
        <v>82</v>
      </c>
      <c r="C223" t="s">
        <v>52</v>
      </c>
      <c r="D223" t="s">
        <v>58</v>
      </c>
      <c r="E223">
        <v>2023</v>
      </c>
      <c r="F223" s="15">
        <v>22416</v>
      </c>
      <c r="G223" s="16">
        <v>5985430000</v>
      </c>
      <c r="H223" s="15">
        <v>3024</v>
      </c>
      <c r="I223" s="16">
        <v>604150000</v>
      </c>
      <c r="J223" s="15">
        <v>3301</v>
      </c>
      <c r="K223" s="16">
        <v>559615000</v>
      </c>
      <c r="L223" s="15">
        <v>28741</v>
      </c>
      <c r="M223" s="16">
        <v>7149195000</v>
      </c>
      <c r="N223" s="16">
        <v>248745.52</v>
      </c>
      <c r="O223" s="17">
        <v>0.047329</v>
      </c>
    </row>
    <row r="224" spans="1:15">
      <c r="A224" t="s">
        <v>81</v>
      </c>
      <c r="B224" t="s">
        <v>82</v>
      </c>
      <c r="C224" t="s">
        <v>52</v>
      </c>
      <c r="D224" t="s">
        <v>58</v>
      </c>
      <c r="E224">
        <v>2024</v>
      </c>
      <c r="F224" s="15">
        <v>22943</v>
      </c>
      <c r="G224" s="16">
        <v>6380255000</v>
      </c>
      <c r="H224" s="15">
        <v>4602</v>
      </c>
      <c r="I224" s="16">
        <v>1128900000</v>
      </c>
      <c r="J224" s="15">
        <v>3881</v>
      </c>
      <c r="K224" s="16">
        <v>739725000</v>
      </c>
      <c r="L224" s="15">
        <v>31426</v>
      </c>
      <c r="M224" s="16">
        <v>8248880000</v>
      </c>
      <c r="N224" s="16">
        <v>262485.84</v>
      </c>
      <c r="O224" s="17">
        <v>0.071771</v>
      </c>
    </row>
    <row r="225" spans="1:15">
      <c r="A225" t="s">
        <v>81</v>
      </c>
      <c r="B225" t="s">
        <v>82</v>
      </c>
      <c r="C225" t="s">
        <v>52</v>
      </c>
      <c r="D225" t="s">
        <v>58</v>
      </c>
      <c r="E225">
        <v>2025</v>
      </c>
      <c r="F225" s="15">
        <v>24507</v>
      </c>
      <c r="G225" s="16">
        <v>7594355000</v>
      </c>
      <c r="H225" s="15">
        <v>7330</v>
      </c>
      <c r="I225" s="16">
        <v>2137590000</v>
      </c>
      <c r="J225" s="15">
        <v>5048</v>
      </c>
      <c r="K225" s="16">
        <v>1033860000</v>
      </c>
      <c r="L225" s="15">
        <v>36885</v>
      </c>
      <c r="M225" s="16">
        <v>10765805000</v>
      </c>
      <c r="N225" s="16">
        <v>291874.88</v>
      </c>
      <c r="O225" s="17">
        <v>0.023143</v>
      </c>
    </row>
    <row r="226" spans="1:15">
      <c r="A226" t="s">
        <v>83</v>
      </c>
      <c r="B226" t="s">
        <v>84</v>
      </c>
      <c r="C226" t="s">
        <v>21</v>
      </c>
      <c r="D226" t="s">
        <v>25</v>
      </c>
      <c r="E226">
        <v>2018</v>
      </c>
      <c r="F226" s="15">
        <v>56936</v>
      </c>
      <c r="G226" s="16">
        <v>16630820000</v>
      </c>
      <c r="H226" s="15">
        <v>11726</v>
      </c>
      <c r="I226" s="16">
        <v>3711560000</v>
      </c>
      <c r="J226" s="15">
        <v>18904</v>
      </c>
      <c r="K226" s="16">
        <v>4439860000</v>
      </c>
      <c r="L226" s="15">
        <v>87566</v>
      </c>
      <c r="M226" s="16">
        <v>24782240000</v>
      </c>
      <c r="N226" s="16">
        <v>283012.13</v>
      </c>
      <c r="O226" s="17">
        <v>0.100194</v>
      </c>
    </row>
    <row r="227" spans="1:15">
      <c r="A227" t="s">
        <v>83</v>
      </c>
      <c r="B227" t="s">
        <v>84</v>
      </c>
      <c r="C227" t="s">
        <v>21</v>
      </c>
      <c r="D227" t="s">
        <v>25</v>
      </c>
      <c r="E227">
        <v>2019</v>
      </c>
      <c r="F227" s="15">
        <v>55330</v>
      </c>
      <c r="G227" s="16">
        <v>17466870000</v>
      </c>
      <c r="H227" s="15">
        <v>31014</v>
      </c>
      <c r="I227" s="16">
        <v>9637790000</v>
      </c>
      <c r="J227" s="15">
        <v>24713</v>
      </c>
      <c r="K227" s="16">
        <v>6468535000</v>
      </c>
      <c r="L227" s="15">
        <v>111057</v>
      </c>
      <c r="M227" s="16">
        <v>33573195000</v>
      </c>
      <c r="N227" s="16">
        <v>302305.98</v>
      </c>
      <c r="O227" s="17">
        <v>0.044329</v>
      </c>
    </row>
    <row r="228" spans="1:15">
      <c r="A228" t="s">
        <v>83</v>
      </c>
      <c r="B228" t="s">
        <v>84</v>
      </c>
      <c r="C228" t="s">
        <v>21</v>
      </c>
      <c r="D228" t="s">
        <v>25</v>
      </c>
      <c r="E228">
        <v>2020</v>
      </c>
      <c r="F228" s="15">
        <v>58095</v>
      </c>
      <c r="G228" s="16">
        <v>18347975000</v>
      </c>
      <c r="H228" s="15">
        <v>86474</v>
      </c>
      <c r="I228" s="16">
        <v>25446290000</v>
      </c>
      <c r="J228" s="15">
        <v>27974</v>
      </c>
      <c r="K228" s="16">
        <v>7674230000</v>
      </c>
      <c r="L228" s="15">
        <v>172543</v>
      </c>
      <c r="M228" s="16">
        <v>51468495000</v>
      </c>
      <c r="N228" s="16">
        <v>298293.73</v>
      </c>
      <c r="O228" s="17">
        <v>0.106814</v>
      </c>
    </row>
    <row r="229" spans="1:15">
      <c r="A229" t="s">
        <v>83</v>
      </c>
      <c r="B229" t="s">
        <v>84</v>
      </c>
      <c r="C229" t="s">
        <v>21</v>
      </c>
      <c r="D229" t="s">
        <v>25</v>
      </c>
      <c r="E229">
        <v>2021</v>
      </c>
      <c r="F229" s="15">
        <v>66645</v>
      </c>
      <c r="G229" s="16">
        <v>24551585000</v>
      </c>
      <c r="H229" s="15">
        <v>71263</v>
      </c>
      <c r="I229" s="16">
        <v>20432215000</v>
      </c>
      <c r="J229" s="15">
        <v>40535</v>
      </c>
      <c r="K229" s="16">
        <v>12183765000</v>
      </c>
      <c r="L229" s="15">
        <v>178443</v>
      </c>
      <c r="M229" s="16">
        <v>57167565000</v>
      </c>
      <c r="N229" s="16">
        <v>320368.77</v>
      </c>
      <c r="O229" s="17">
        <v>0.231992</v>
      </c>
    </row>
    <row r="230" spans="1:15">
      <c r="A230" t="s">
        <v>83</v>
      </c>
      <c r="B230" t="s">
        <v>84</v>
      </c>
      <c r="C230" t="s">
        <v>21</v>
      </c>
      <c r="D230" t="s">
        <v>25</v>
      </c>
      <c r="E230">
        <v>2022</v>
      </c>
      <c r="F230" s="15">
        <v>46754</v>
      </c>
      <c r="G230" s="16">
        <v>19865180000</v>
      </c>
      <c r="H230" s="15">
        <v>9936</v>
      </c>
      <c r="I230" s="16">
        <v>3903290000</v>
      </c>
      <c r="J230" s="15">
        <v>21037</v>
      </c>
      <c r="K230" s="16">
        <v>6942765000</v>
      </c>
      <c r="L230" s="15">
        <v>77727</v>
      </c>
      <c r="M230" s="16">
        <v>30711235000</v>
      </c>
      <c r="N230" s="16">
        <v>395116.69</v>
      </c>
      <c r="O230" s="17">
        <v>0.029086</v>
      </c>
    </row>
    <row r="231" spans="1:15">
      <c r="A231" t="s">
        <v>83</v>
      </c>
      <c r="B231" t="s">
        <v>84</v>
      </c>
      <c r="C231" t="s">
        <v>21</v>
      </c>
      <c r="D231" t="s">
        <v>25</v>
      </c>
      <c r="E231">
        <v>2023</v>
      </c>
      <c r="F231" s="15">
        <v>37832</v>
      </c>
      <c r="G231" s="16">
        <v>15293110000</v>
      </c>
      <c r="H231" s="15">
        <v>2413</v>
      </c>
      <c r="I231" s="16">
        <v>1447835000</v>
      </c>
      <c r="J231" s="15">
        <v>6537</v>
      </c>
      <c r="K231" s="16">
        <v>1802665000</v>
      </c>
      <c r="L231" s="15">
        <v>46782</v>
      </c>
      <c r="M231" s="16">
        <v>18543610000</v>
      </c>
      <c r="N231" s="16">
        <v>396383.44</v>
      </c>
      <c r="O231" s="17">
        <v>0.035683</v>
      </c>
    </row>
    <row r="232" spans="1:15">
      <c r="A232" t="s">
        <v>83</v>
      </c>
      <c r="B232" t="s">
        <v>84</v>
      </c>
      <c r="C232" t="s">
        <v>21</v>
      </c>
      <c r="D232" t="s">
        <v>25</v>
      </c>
      <c r="E232">
        <v>2024</v>
      </c>
      <c r="F232" s="15">
        <v>40791</v>
      </c>
      <c r="G232" s="16">
        <v>17100725000</v>
      </c>
      <c r="H232" s="15">
        <v>6020</v>
      </c>
      <c r="I232" s="16">
        <v>3524510000</v>
      </c>
      <c r="J232" s="15">
        <v>8512</v>
      </c>
      <c r="K232" s="16">
        <v>2276460000</v>
      </c>
      <c r="L232" s="15">
        <v>55323</v>
      </c>
      <c r="M232" s="16">
        <v>22901695000</v>
      </c>
      <c r="N232" s="16">
        <v>413963.36</v>
      </c>
      <c r="O232" s="17">
        <v>0.061365</v>
      </c>
    </row>
    <row r="233" spans="1:15">
      <c r="A233" t="s">
        <v>83</v>
      </c>
      <c r="B233" t="s">
        <v>84</v>
      </c>
      <c r="C233" t="s">
        <v>21</v>
      </c>
      <c r="D233" t="s">
        <v>25</v>
      </c>
      <c r="E233">
        <v>2025</v>
      </c>
      <c r="F233" s="15">
        <v>38593</v>
      </c>
      <c r="G233" s="16">
        <v>17129075000</v>
      </c>
      <c r="H233" s="15">
        <v>9067</v>
      </c>
      <c r="I233" s="16">
        <v>4721495000</v>
      </c>
      <c r="J233" s="15">
        <v>10899</v>
      </c>
      <c r="K233" s="16">
        <v>2983765000</v>
      </c>
      <c r="L233" s="15">
        <v>58559</v>
      </c>
      <c r="M233" s="16">
        <v>24834335000</v>
      </c>
      <c r="N233" s="16">
        <v>424090.83</v>
      </c>
      <c r="O233" s="17">
        <v>0.007058</v>
      </c>
    </row>
    <row r="234" spans="1:15">
      <c r="A234" t="s">
        <v>85</v>
      </c>
      <c r="B234" t="s">
        <v>86</v>
      </c>
      <c r="C234" t="s">
        <v>35</v>
      </c>
      <c r="D234" t="s">
        <v>36</v>
      </c>
      <c r="E234">
        <v>2018</v>
      </c>
      <c r="F234" s="15">
        <v>20544</v>
      </c>
      <c r="G234" s="16">
        <v>5333880000</v>
      </c>
      <c r="H234" s="15">
        <v>5290</v>
      </c>
      <c r="I234" s="16">
        <v>1264530000</v>
      </c>
      <c r="J234" s="15">
        <v>6037</v>
      </c>
      <c r="K234" s="16">
        <v>1272365000</v>
      </c>
      <c r="L234" s="15">
        <v>31871</v>
      </c>
      <c r="M234" s="16">
        <v>7870775000</v>
      </c>
      <c r="N234" s="16">
        <v>246957.27</v>
      </c>
      <c r="O234" s="17">
        <v>0.056091</v>
      </c>
    </row>
    <row r="235" spans="1:15">
      <c r="A235" t="s">
        <v>85</v>
      </c>
      <c r="B235" t="s">
        <v>86</v>
      </c>
      <c r="C235" t="s">
        <v>35</v>
      </c>
      <c r="D235" t="s">
        <v>36</v>
      </c>
      <c r="E235">
        <v>2019</v>
      </c>
      <c r="F235" s="15">
        <v>21083</v>
      </c>
      <c r="G235" s="16">
        <v>5849905000</v>
      </c>
      <c r="H235" s="15">
        <v>11508</v>
      </c>
      <c r="I235" s="16">
        <v>3187000000</v>
      </c>
      <c r="J235" s="15">
        <v>7473</v>
      </c>
      <c r="K235" s="16">
        <v>1784045000</v>
      </c>
      <c r="L235" s="15">
        <v>40064</v>
      </c>
      <c r="M235" s="16">
        <v>10820950000</v>
      </c>
      <c r="N235" s="16">
        <v>270091.6</v>
      </c>
      <c r="O235" s="17">
        <v>0.055404</v>
      </c>
    </row>
    <row r="236" spans="1:15">
      <c r="A236" t="s">
        <v>85</v>
      </c>
      <c r="B236" t="s">
        <v>86</v>
      </c>
      <c r="C236" t="s">
        <v>35</v>
      </c>
      <c r="D236" t="s">
        <v>36</v>
      </c>
      <c r="E236">
        <v>2020</v>
      </c>
      <c r="F236" s="15">
        <v>22346</v>
      </c>
      <c r="G236" s="16">
        <v>6764870000</v>
      </c>
      <c r="H236" s="15">
        <v>32968</v>
      </c>
      <c r="I236" s="16">
        <v>8992920000</v>
      </c>
      <c r="J236" s="15">
        <v>12809</v>
      </c>
      <c r="K236" s="16">
        <v>3409465000</v>
      </c>
      <c r="L236" s="15">
        <v>68123</v>
      </c>
      <c r="M236" s="16">
        <v>19167255000</v>
      </c>
      <c r="N236" s="16">
        <v>281362.46</v>
      </c>
      <c r="O236" s="17">
        <v>0.143124</v>
      </c>
    </row>
    <row r="237" spans="1:15">
      <c r="A237" t="s">
        <v>85</v>
      </c>
      <c r="B237" t="s">
        <v>86</v>
      </c>
      <c r="C237" t="s">
        <v>35</v>
      </c>
      <c r="D237" t="s">
        <v>36</v>
      </c>
      <c r="E237">
        <v>2021</v>
      </c>
      <c r="F237" s="15">
        <v>22013</v>
      </c>
      <c r="G237" s="16">
        <v>7710545000</v>
      </c>
      <c r="H237" s="15">
        <v>28600</v>
      </c>
      <c r="I237" s="16">
        <v>7994880000</v>
      </c>
      <c r="J237" s="15">
        <v>18257</v>
      </c>
      <c r="K237" s="16">
        <v>4949795000</v>
      </c>
      <c r="L237" s="15">
        <v>68870</v>
      </c>
      <c r="M237" s="16">
        <v>20655220000</v>
      </c>
      <c r="N237" s="16">
        <v>299916.07</v>
      </c>
      <c r="O237" s="17">
        <v>0.180258</v>
      </c>
    </row>
    <row r="238" spans="1:15">
      <c r="A238" t="s">
        <v>85</v>
      </c>
      <c r="B238" t="s">
        <v>86</v>
      </c>
      <c r="C238" t="s">
        <v>35</v>
      </c>
      <c r="D238" t="s">
        <v>36</v>
      </c>
      <c r="E238">
        <v>2022</v>
      </c>
      <c r="F238" s="15">
        <v>18052</v>
      </c>
      <c r="G238" s="16">
        <v>7414910000</v>
      </c>
      <c r="H238" s="15">
        <v>5197</v>
      </c>
      <c r="I238" s="16">
        <v>1640445000</v>
      </c>
      <c r="J238" s="15">
        <v>8136</v>
      </c>
      <c r="K238" s="16">
        <v>2345380000</v>
      </c>
      <c r="L238" s="15">
        <v>31385</v>
      </c>
      <c r="M238" s="16">
        <v>11400735000</v>
      </c>
      <c r="N238" s="16">
        <v>363254.26</v>
      </c>
      <c r="O238" s="17">
        <v>0.09315</v>
      </c>
    </row>
    <row r="239" spans="1:15">
      <c r="A239" t="s">
        <v>85</v>
      </c>
      <c r="B239" t="s">
        <v>86</v>
      </c>
      <c r="C239" t="s">
        <v>35</v>
      </c>
      <c r="D239" t="s">
        <v>36</v>
      </c>
      <c r="E239">
        <v>2023</v>
      </c>
      <c r="F239" s="15">
        <v>13703</v>
      </c>
      <c r="G239" s="16">
        <v>5413335000</v>
      </c>
      <c r="H239" s="15">
        <v>2216</v>
      </c>
      <c r="I239" s="16">
        <v>623460000</v>
      </c>
      <c r="J239" s="15">
        <v>3736</v>
      </c>
      <c r="K239" s="16">
        <v>852150000</v>
      </c>
      <c r="L239" s="15">
        <v>19655</v>
      </c>
      <c r="M239" s="16">
        <v>6888945000</v>
      </c>
      <c r="N239" s="16">
        <v>350493.26</v>
      </c>
      <c r="O239" s="17">
        <v>0.09179900000000001</v>
      </c>
    </row>
    <row r="240" spans="1:15">
      <c r="A240" t="s">
        <v>85</v>
      </c>
      <c r="B240" t="s">
        <v>86</v>
      </c>
      <c r="C240" t="s">
        <v>35</v>
      </c>
      <c r="D240" t="s">
        <v>36</v>
      </c>
      <c r="E240">
        <v>2024</v>
      </c>
      <c r="F240" s="15">
        <v>14195</v>
      </c>
      <c r="G240" s="16">
        <v>6106775000</v>
      </c>
      <c r="H240" s="15">
        <v>3579</v>
      </c>
      <c r="I240" s="16">
        <v>1229165000</v>
      </c>
      <c r="J240" s="15">
        <v>4091</v>
      </c>
      <c r="K240" s="16">
        <v>1094045000</v>
      </c>
      <c r="L240" s="15">
        <v>21865</v>
      </c>
      <c r="M240" s="16">
        <v>8429985000</v>
      </c>
      <c r="N240" s="16">
        <v>385546.99</v>
      </c>
      <c r="O240" s="17">
        <v>0.075209</v>
      </c>
    </row>
    <row r="241" spans="1:15">
      <c r="A241" t="s">
        <v>85</v>
      </c>
      <c r="B241" t="s">
        <v>86</v>
      </c>
      <c r="C241" t="s">
        <v>35</v>
      </c>
      <c r="D241" t="s">
        <v>36</v>
      </c>
      <c r="E241">
        <v>2025</v>
      </c>
      <c r="F241" s="15">
        <v>15283</v>
      </c>
      <c r="G241" s="16">
        <v>7014585000</v>
      </c>
      <c r="H241" s="15">
        <v>6243</v>
      </c>
      <c r="I241" s="16">
        <v>2743905000</v>
      </c>
      <c r="J241" s="15">
        <v>5403</v>
      </c>
      <c r="K241" s="16">
        <v>1506785000</v>
      </c>
      <c r="L241" s="15">
        <v>26929</v>
      </c>
      <c r="M241" s="16">
        <v>11265275000</v>
      </c>
      <c r="N241" s="16">
        <v>418332.47</v>
      </c>
      <c r="O241" s="17">
        <v>0.038506</v>
      </c>
    </row>
    <row r="242" spans="1:15">
      <c r="A242" t="s">
        <v>87</v>
      </c>
      <c r="B242" t="s">
        <v>88</v>
      </c>
      <c r="C242" t="s">
        <v>35</v>
      </c>
      <c r="D242" t="s">
        <v>89</v>
      </c>
      <c r="E242">
        <v>2018</v>
      </c>
      <c r="F242" s="15">
        <v>104036</v>
      </c>
      <c r="G242" s="16">
        <v>35981880000</v>
      </c>
      <c r="H242" s="15">
        <v>29725</v>
      </c>
      <c r="I242" s="16">
        <v>10022575000</v>
      </c>
      <c r="J242" s="15">
        <v>26358</v>
      </c>
      <c r="K242" s="16">
        <v>7633570000</v>
      </c>
      <c r="L242" s="15">
        <v>160119</v>
      </c>
      <c r="M242" s="16">
        <v>53638025000</v>
      </c>
      <c r="N242" s="16">
        <v>334988.51</v>
      </c>
      <c r="O242" s="17">
        <v>0.035622</v>
      </c>
    </row>
    <row r="243" spans="1:15">
      <c r="A243" t="s">
        <v>87</v>
      </c>
      <c r="B243" t="s">
        <v>88</v>
      </c>
      <c r="C243" t="s">
        <v>35</v>
      </c>
      <c r="D243" t="s">
        <v>89</v>
      </c>
      <c r="E243">
        <v>2019</v>
      </c>
      <c r="F243" s="15">
        <v>106637</v>
      </c>
      <c r="G243" s="16">
        <v>37816675000</v>
      </c>
      <c r="H243" s="15">
        <v>60757</v>
      </c>
      <c r="I243" s="16">
        <v>23845335000</v>
      </c>
      <c r="J243" s="15">
        <v>31883</v>
      </c>
      <c r="K243" s="16">
        <v>10327665000</v>
      </c>
      <c r="L243" s="15">
        <v>199277</v>
      </c>
      <c r="M243" s="16">
        <v>71989675000</v>
      </c>
      <c r="N243" s="16">
        <v>361254.31</v>
      </c>
      <c r="O243" s="17">
        <v>0.046998</v>
      </c>
    </row>
    <row r="244" spans="1:15">
      <c r="A244" t="s">
        <v>87</v>
      </c>
      <c r="B244" t="s">
        <v>88</v>
      </c>
      <c r="C244" t="s">
        <v>35</v>
      </c>
      <c r="D244" t="s">
        <v>89</v>
      </c>
      <c r="E244">
        <v>2020</v>
      </c>
      <c r="F244" s="15">
        <v>119244</v>
      </c>
      <c r="G244" s="16">
        <v>45250350000</v>
      </c>
      <c r="H244" s="15">
        <v>183445</v>
      </c>
      <c r="I244" s="16">
        <v>65356265000</v>
      </c>
      <c r="J244" s="15">
        <v>43718</v>
      </c>
      <c r="K244" s="16">
        <v>14292730000</v>
      </c>
      <c r="L244" s="15">
        <v>346407</v>
      </c>
      <c r="M244" s="16">
        <v>124899345000</v>
      </c>
      <c r="N244" s="16">
        <v>360556.64</v>
      </c>
      <c r="O244" s="17">
        <v>0.120857</v>
      </c>
    </row>
    <row r="245" spans="1:15">
      <c r="A245" t="s">
        <v>87</v>
      </c>
      <c r="B245" t="s">
        <v>88</v>
      </c>
      <c r="C245" t="s">
        <v>35</v>
      </c>
      <c r="D245" t="s">
        <v>89</v>
      </c>
      <c r="E245">
        <v>2021</v>
      </c>
      <c r="F245" s="15">
        <v>131938</v>
      </c>
      <c r="G245" s="16">
        <v>57198650000</v>
      </c>
      <c r="H245" s="15">
        <v>163193</v>
      </c>
      <c r="I245" s="16">
        <v>56860965000</v>
      </c>
      <c r="J245" s="15">
        <v>71689</v>
      </c>
      <c r="K245" s="16">
        <v>24004355000</v>
      </c>
      <c r="L245" s="15">
        <v>366820</v>
      </c>
      <c r="M245" s="16">
        <v>138063970000</v>
      </c>
      <c r="N245" s="16">
        <v>376380.7</v>
      </c>
      <c r="O245" s="17">
        <v>0.150044</v>
      </c>
    </row>
    <row r="246" spans="1:15">
      <c r="A246" t="s">
        <v>87</v>
      </c>
      <c r="B246" t="s">
        <v>88</v>
      </c>
      <c r="C246" t="s">
        <v>35</v>
      </c>
      <c r="D246" t="s">
        <v>89</v>
      </c>
      <c r="E246">
        <v>2022</v>
      </c>
      <c r="F246" s="15">
        <v>103594</v>
      </c>
      <c r="G246" s="16">
        <v>47369850000</v>
      </c>
      <c r="H246" s="15">
        <v>27862</v>
      </c>
      <c r="I246" s="16">
        <v>13203710000</v>
      </c>
      <c r="J246" s="15">
        <v>35227</v>
      </c>
      <c r="K246" s="16">
        <v>11972625000</v>
      </c>
      <c r="L246" s="15">
        <v>166683</v>
      </c>
      <c r="M246" s="16">
        <v>72546185000</v>
      </c>
      <c r="N246" s="16">
        <v>435234.46</v>
      </c>
      <c r="O246" s="17">
        <v>0.080391</v>
      </c>
    </row>
    <row r="247" spans="1:15">
      <c r="A247" t="s">
        <v>87</v>
      </c>
      <c r="B247" t="s">
        <v>88</v>
      </c>
      <c r="C247" t="s">
        <v>35</v>
      </c>
      <c r="D247" t="s">
        <v>89</v>
      </c>
      <c r="E247">
        <v>2023</v>
      </c>
      <c r="F247" s="15">
        <v>77967</v>
      </c>
      <c r="G247" s="16">
        <v>35689095000</v>
      </c>
      <c r="H247" s="15">
        <v>11167</v>
      </c>
      <c r="I247" s="16">
        <v>5216465000</v>
      </c>
      <c r="J247" s="15">
        <v>16979</v>
      </c>
      <c r="K247" s="16">
        <v>4924275000</v>
      </c>
      <c r="L247" s="15">
        <v>106113</v>
      </c>
      <c r="M247" s="16">
        <v>45829835000</v>
      </c>
      <c r="N247" s="16">
        <v>431896.52</v>
      </c>
      <c r="O247" s="17">
        <v>0.112325</v>
      </c>
    </row>
    <row r="248" spans="1:15">
      <c r="A248" t="s">
        <v>87</v>
      </c>
      <c r="B248" t="s">
        <v>88</v>
      </c>
      <c r="C248" t="s">
        <v>35</v>
      </c>
      <c r="D248" t="s">
        <v>89</v>
      </c>
      <c r="E248">
        <v>2024</v>
      </c>
      <c r="F248" s="15">
        <v>79924</v>
      </c>
      <c r="G248" s="16">
        <v>39031570000</v>
      </c>
      <c r="H248" s="15">
        <v>17977</v>
      </c>
      <c r="I248" s="16">
        <v>8637925000</v>
      </c>
      <c r="J248" s="15">
        <v>22630</v>
      </c>
      <c r="K248" s="16">
        <v>6772910000</v>
      </c>
      <c r="L248" s="15">
        <v>120531</v>
      </c>
      <c r="M248" s="16">
        <v>54442405000</v>
      </c>
      <c r="N248" s="16">
        <v>451687.99</v>
      </c>
      <c r="O248" s="17">
        <v>0.087198</v>
      </c>
    </row>
    <row r="249" spans="1:15">
      <c r="A249" t="s">
        <v>87</v>
      </c>
      <c r="B249" t="s">
        <v>88</v>
      </c>
      <c r="C249" t="s">
        <v>35</v>
      </c>
      <c r="D249" t="s">
        <v>89</v>
      </c>
      <c r="E249">
        <v>2025</v>
      </c>
      <c r="F249" s="15">
        <v>81024</v>
      </c>
      <c r="G249" s="16">
        <v>43015600000</v>
      </c>
      <c r="H249" s="15">
        <v>28203</v>
      </c>
      <c r="I249" s="16">
        <v>15676095000</v>
      </c>
      <c r="J249" s="15">
        <v>30380</v>
      </c>
      <c r="K249" s="16">
        <v>9887340000</v>
      </c>
      <c r="L249" s="15">
        <v>139607</v>
      </c>
      <c r="M249" s="16">
        <v>68579035000</v>
      </c>
      <c r="N249" s="16">
        <v>491229.2</v>
      </c>
      <c r="O249" s="17">
        <v>0.049905</v>
      </c>
    </row>
    <row r="250" spans="1:15">
      <c r="A250" t="s">
        <v>90</v>
      </c>
      <c r="B250" t="s">
        <v>91</v>
      </c>
      <c r="C250" t="s">
        <v>21</v>
      </c>
      <c r="D250" t="s">
        <v>25</v>
      </c>
      <c r="E250">
        <v>2018</v>
      </c>
      <c r="F250" s="15">
        <v>25414</v>
      </c>
      <c r="G250" s="16">
        <v>5280490000</v>
      </c>
      <c r="H250" s="15">
        <v>4897</v>
      </c>
      <c r="I250" s="16">
        <v>991855000</v>
      </c>
      <c r="J250" s="15">
        <v>5455</v>
      </c>
      <c r="K250" s="16">
        <v>1024985000</v>
      </c>
      <c r="L250" s="15">
        <v>35766</v>
      </c>
      <c r="M250" s="16">
        <v>7297330000</v>
      </c>
      <c r="N250" s="16">
        <v>204029.8</v>
      </c>
      <c r="O250" s="17">
        <v>0.040888</v>
      </c>
    </row>
    <row r="251" spans="1:15">
      <c r="A251" t="s">
        <v>90</v>
      </c>
      <c r="B251" t="s">
        <v>91</v>
      </c>
      <c r="C251" t="s">
        <v>21</v>
      </c>
      <c r="D251" t="s">
        <v>25</v>
      </c>
      <c r="E251">
        <v>2019</v>
      </c>
      <c r="F251" s="15">
        <v>27068</v>
      </c>
      <c r="G251" s="16">
        <v>5795450000</v>
      </c>
      <c r="H251" s="15">
        <v>8841</v>
      </c>
      <c r="I251" s="16">
        <v>2140135000</v>
      </c>
      <c r="J251" s="15">
        <v>6531</v>
      </c>
      <c r="K251" s="16">
        <v>1310475000</v>
      </c>
      <c r="L251" s="15">
        <v>42440</v>
      </c>
      <c r="M251" s="16">
        <v>9246060000</v>
      </c>
      <c r="N251" s="16">
        <v>217861.92</v>
      </c>
      <c r="O251" s="17">
        <v>0.054617</v>
      </c>
    </row>
    <row r="252" spans="1:15">
      <c r="A252" t="s">
        <v>90</v>
      </c>
      <c r="B252" t="s">
        <v>91</v>
      </c>
      <c r="C252" t="s">
        <v>21</v>
      </c>
      <c r="D252" t="s">
        <v>25</v>
      </c>
      <c r="E252">
        <v>2020</v>
      </c>
      <c r="F252" s="15">
        <v>30030</v>
      </c>
      <c r="G252" s="16">
        <v>6838780000</v>
      </c>
      <c r="H252" s="15">
        <v>29339</v>
      </c>
      <c r="I252" s="16">
        <v>6843695000</v>
      </c>
      <c r="J252" s="15">
        <v>8897</v>
      </c>
      <c r="K252" s="16">
        <v>1966735000</v>
      </c>
      <c r="L252" s="15">
        <v>68266</v>
      </c>
      <c r="M252" s="16">
        <v>15649210000</v>
      </c>
      <c r="N252" s="16">
        <v>229238.71</v>
      </c>
      <c r="O252" s="17">
        <v>0.115241</v>
      </c>
    </row>
    <row r="253" spans="1:15">
      <c r="A253" t="s">
        <v>90</v>
      </c>
      <c r="B253" t="s">
        <v>91</v>
      </c>
      <c r="C253" t="s">
        <v>21</v>
      </c>
      <c r="D253" t="s">
        <v>25</v>
      </c>
      <c r="E253">
        <v>2021</v>
      </c>
      <c r="F253" s="15">
        <v>32454</v>
      </c>
      <c r="G253" s="16">
        <v>8325350000</v>
      </c>
      <c r="H253" s="15">
        <v>27712</v>
      </c>
      <c r="I253" s="16">
        <v>6111380000</v>
      </c>
      <c r="J253" s="15">
        <v>13476</v>
      </c>
      <c r="K253" s="16">
        <v>3046450000</v>
      </c>
      <c r="L253" s="15">
        <v>73642</v>
      </c>
      <c r="M253" s="16">
        <v>17483180000</v>
      </c>
      <c r="N253" s="16">
        <v>237407.73</v>
      </c>
      <c r="O253" s="17">
        <v>0.149212</v>
      </c>
    </row>
    <row r="254" spans="1:15">
      <c r="A254" t="s">
        <v>90</v>
      </c>
      <c r="B254" t="s">
        <v>91</v>
      </c>
      <c r="C254" t="s">
        <v>21</v>
      </c>
      <c r="D254" t="s">
        <v>25</v>
      </c>
      <c r="E254">
        <v>2022</v>
      </c>
      <c r="F254" s="15">
        <v>26138</v>
      </c>
      <c r="G254" s="16">
        <v>7403680000</v>
      </c>
      <c r="H254" s="15">
        <v>5137</v>
      </c>
      <c r="I254" s="16">
        <v>1231155000</v>
      </c>
      <c r="J254" s="15">
        <v>8855</v>
      </c>
      <c r="K254" s="16">
        <v>2002065000</v>
      </c>
      <c r="L254" s="15">
        <v>40130</v>
      </c>
      <c r="M254" s="16">
        <v>10636900000</v>
      </c>
      <c r="N254" s="16">
        <v>265061.05</v>
      </c>
      <c r="O254" s="17">
        <v>0.09674199999999999</v>
      </c>
    </row>
    <row r="255" spans="1:15">
      <c r="A255" t="s">
        <v>90</v>
      </c>
      <c r="B255" t="s">
        <v>91</v>
      </c>
      <c r="C255" t="s">
        <v>21</v>
      </c>
      <c r="D255" t="s">
        <v>25</v>
      </c>
      <c r="E255">
        <v>2023</v>
      </c>
      <c r="F255" s="15">
        <v>20924</v>
      </c>
      <c r="G255" s="16">
        <v>5866490000</v>
      </c>
      <c r="H255" s="15">
        <v>1793</v>
      </c>
      <c r="I255" s="16">
        <v>683655000</v>
      </c>
      <c r="J255" s="15">
        <v>3920</v>
      </c>
      <c r="K255" s="16">
        <v>792080000</v>
      </c>
      <c r="L255" s="15">
        <v>26637</v>
      </c>
      <c r="M255" s="16">
        <v>7342225000</v>
      </c>
      <c r="N255" s="16">
        <v>275640.09</v>
      </c>
      <c r="O255" s="17">
        <v>0.051891</v>
      </c>
    </row>
    <row r="256" spans="1:15">
      <c r="A256" t="s">
        <v>90</v>
      </c>
      <c r="B256" t="s">
        <v>91</v>
      </c>
      <c r="C256" t="s">
        <v>21</v>
      </c>
      <c r="D256" t="s">
        <v>25</v>
      </c>
      <c r="E256">
        <v>2024</v>
      </c>
      <c r="F256" s="15">
        <v>22953</v>
      </c>
      <c r="G256" s="16">
        <v>6210085000</v>
      </c>
      <c r="H256" s="15">
        <v>3445</v>
      </c>
      <c r="I256" s="16">
        <v>1319365000</v>
      </c>
      <c r="J256" s="15">
        <v>4729</v>
      </c>
      <c r="K256" s="16">
        <v>951795000</v>
      </c>
      <c r="L256" s="15">
        <v>31127</v>
      </c>
      <c r="M256" s="16">
        <v>8481245000</v>
      </c>
      <c r="N256" s="16">
        <v>272472.29</v>
      </c>
      <c r="O256" s="17">
        <v>0.059218</v>
      </c>
    </row>
    <row r="257" spans="1:15">
      <c r="A257" t="s">
        <v>90</v>
      </c>
      <c r="B257" t="s">
        <v>91</v>
      </c>
      <c r="C257" t="s">
        <v>21</v>
      </c>
      <c r="D257" t="s">
        <v>25</v>
      </c>
      <c r="E257">
        <v>2025</v>
      </c>
      <c r="F257" s="15">
        <v>22743</v>
      </c>
      <c r="G257" s="16">
        <v>8738395000</v>
      </c>
      <c r="H257" s="15">
        <v>5051</v>
      </c>
      <c r="I257" s="16">
        <v>1731075000</v>
      </c>
      <c r="J257" s="15">
        <v>5930</v>
      </c>
      <c r="K257" s="16">
        <v>1269760000</v>
      </c>
      <c r="L257" s="15">
        <v>33724</v>
      </c>
      <c r="M257" s="16">
        <v>11739230000</v>
      </c>
      <c r="N257" s="16">
        <v>348097.2</v>
      </c>
      <c r="O257" s="17">
        <v>0.005933</v>
      </c>
    </row>
    <row r="258" spans="1:15">
      <c r="A258" t="s">
        <v>92</v>
      </c>
      <c r="B258" t="s">
        <v>93</v>
      </c>
      <c r="C258" t="s">
        <v>35</v>
      </c>
      <c r="D258" t="s">
        <v>89</v>
      </c>
      <c r="E258">
        <v>2018</v>
      </c>
      <c r="F258" s="15">
        <v>146167</v>
      </c>
      <c r="G258" s="16">
        <v>59079045000</v>
      </c>
      <c r="H258" s="15">
        <v>42343</v>
      </c>
      <c r="I258" s="16">
        <v>28766425000</v>
      </c>
      <c r="J258" s="15">
        <v>44887</v>
      </c>
      <c r="K258" s="16">
        <v>16535335000</v>
      </c>
      <c r="L258" s="15">
        <v>233397</v>
      </c>
      <c r="M258" s="16">
        <v>104380805000</v>
      </c>
      <c r="N258" s="16">
        <v>447224.28</v>
      </c>
      <c r="O258" s="17">
        <v>0.045687</v>
      </c>
    </row>
    <row r="259" spans="1:15">
      <c r="A259" t="s">
        <v>92</v>
      </c>
      <c r="B259" t="s">
        <v>93</v>
      </c>
      <c r="C259" t="s">
        <v>35</v>
      </c>
      <c r="D259" t="s">
        <v>89</v>
      </c>
      <c r="E259">
        <v>2019</v>
      </c>
      <c r="F259" s="15">
        <v>147770</v>
      </c>
      <c r="G259" s="16">
        <v>62263380000</v>
      </c>
      <c r="H259" s="15">
        <v>59328</v>
      </c>
      <c r="I259" s="16">
        <v>42167360000</v>
      </c>
      <c r="J259" s="15">
        <v>52659</v>
      </c>
      <c r="K259" s="16">
        <v>22751355000</v>
      </c>
      <c r="L259" s="15">
        <v>259757</v>
      </c>
      <c r="M259" s="16">
        <v>127182095000</v>
      </c>
      <c r="N259" s="16">
        <v>489619.51</v>
      </c>
      <c r="O259" s="17">
        <v>0.048531</v>
      </c>
    </row>
    <row r="260" spans="1:15">
      <c r="A260" t="s">
        <v>92</v>
      </c>
      <c r="B260" t="s">
        <v>93</v>
      </c>
      <c r="C260" t="s">
        <v>35</v>
      </c>
      <c r="D260" t="s">
        <v>89</v>
      </c>
      <c r="E260">
        <v>2020</v>
      </c>
      <c r="F260" s="15">
        <v>147999</v>
      </c>
      <c r="G260" s="16">
        <v>61207615000</v>
      </c>
      <c r="H260" s="15">
        <v>147499</v>
      </c>
      <c r="I260" s="16">
        <v>73595295000</v>
      </c>
      <c r="J260" s="15">
        <v>69004</v>
      </c>
      <c r="K260" s="16">
        <v>27747620000</v>
      </c>
      <c r="L260" s="15">
        <v>364502</v>
      </c>
      <c r="M260" s="16">
        <v>162550530000</v>
      </c>
      <c r="N260" s="16">
        <v>445952.37</v>
      </c>
      <c r="O260" s="17">
        <v>0.107852</v>
      </c>
    </row>
    <row r="261" spans="1:15">
      <c r="A261" t="s">
        <v>92</v>
      </c>
      <c r="B261" t="s">
        <v>93</v>
      </c>
      <c r="C261" t="s">
        <v>35</v>
      </c>
      <c r="D261" t="s">
        <v>89</v>
      </c>
      <c r="E261">
        <v>2021</v>
      </c>
      <c r="F261" s="15">
        <v>187049</v>
      </c>
      <c r="G261" s="16">
        <v>88732355000</v>
      </c>
      <c r="H261" s="15">
        <v>153407</v>
      </c>
      <c r="I261" s="16">
        <v>71052135000</v>
      </c>
      <c r="J261" s="15">
        <v>91353</v>
      </c>
      <c r="K261" s="16">
        <v>38805655000</v>
      </c>
      <c r="L261" s="15">
        <v>431809</v>
      </c>
      <c r="M261" s="16">
        <v>198590145000</v>
      </c>
      <c r="N261" s="16">
        <v>459902.75</v>
      </c>
      <c r="O261" s="17">
        <v>0.133384</v>
      </c>
    </row>
    <row r="262" spans="1:15">
      <c r="A262" t="s">
        <v>92</v>
      </c>
      <c r="B262" t="s">
        <v>93</v>
      </c>
      <c r="C262" t="s">
        <v>35</v>
      </c>
      <c r="D262" t="s">
        <v>89</v>
      </c>
      <c r="E262">
        <v>2022</v>
      </c>
      <c r="F262" s="15">
        <v>156896</v>
      </c>
      <c r="G262" s="16">
        <v>82260430000</v>
      </c>
      <c r="H262" s="15">
        <v>42519</v>
      </c>
      <c r="I262" s="16">
        <v>31708315000</v>
      </c>
      <c r="J262" s="15">
        <v>49026</v>
      </c>
      <c r="K262" s="16">
        <v>24762040000</v>
      </c>
      <c r="L262" s="15">
        <v>248441</v>
      </c>
      <c r="M262" s="16">
        <v>138730785000</v>
      </c>
      <c r="N262" s="16">
        <v>558405.36</v>
      </c>
      <c r="O262" s="17">
        <v>0.075436</v>
      </c>
    </row>
    <row r="263" spans="1:15">
      <c r="A263" t="s">
        <v>92</v>
      </c>
      <c r="B263" t="s">
        <v>93</v>
      </c>
      <c r="C263" t="s">
        <v>35</v>
      </c>
      <c r="D263" t="s">
        <v>89</v>
      </c>
      <c r="E263">
        <v>2023</v>
      </c>
      <c r="F263" s="15">
        <v>114980</v>
      </c>
      <c r="G263" s="16">
        <v>54685950000</v>
      </c>
      <c r="H263" s="15">
        <v>17979</v>
      </c>
      <c r="I263" s="16">
        <v>13455835000</v>
      </c>
      <c r="J263" s="15">
        <v>21294</v>
      </c>
      <c r="K263" s="16">
        <v>9170280000</v>
      </c>
      <c r="L263" s="15">
        <v>154253</v>
      </c>
      <c r="M263" s="16">
        <v>77312065000</v>
      </c>
      <c r="N263" s="16">
        <v>501202.99</v>
      </c>
      <c r="O263" s="17">
        <v>0.092514</v>
      </c>
    </row>
    <row r="264" spans="1:15">
      <c r="A264" t="s">
        <v>92</v>
      </c>
      <c r="B264" t="s">
        <v>93</v>
      </c>
      <c r="C264" t="s">
        <v>35</v>
      </c>
      <c r="D264" t="s">
        <v>89</v>
      </c>
      <c r="E264">
        <v>2024</v>
      </c>
      <c r="F264" s="15">
        <v>115407</v>
      </c>
      <c r="G264" s="16">
        <v>56326435000</v>
      </c>
      <c r="H264" s="15">
        <v>19878</v>
      </c>
      <c r="I264" s="16">
        <v>17308210000</v>
      </c>
      <c r="J264" s="15">
        <v>24033</v>
      </c>
      <c r="K264" s="16">
        <v>11561935000</v>
      </c>
      <c r="L264" s="15">
        <v>159318</v>
      </c>
      <c r="M264" s="16">
        <v>85196580000</v>
      </c>
      <c r="N264" s="16">
        <v>534758.03</v>
      </c>
      <c r="O264" s="17">
        <v>0.074105</v>
      </c>
    </row>
    <row r="265" spans="1:15">
      <c r="A265" t="s">
        <v>92</v>
      </c>
      <c r="B265" t="s">
        <v>93</v>
      </c>
      <c r="C265" t="s">
        <v>35</v>
      </c>
      <c r="D265" t="s">
        <v>89</v>
      </c>
      <c r="E265">
        <v>2025</v>
      </c>
      <c r="F265" s="15">
        <v>119881</v>
      </c>
      <c r="G265" s="16">
        <v>63167245000</v>
      </c>
      <c r="H265" s="15">
        <v>26993</v>
      </c>
      <c r="I265" s="16">
        <v>27674165000</v>
      </c>
      <c r="J265" s="15">
        <v>30694</v>
      </c>
      <c r="K265" s="16">
        <v>14378060000</v>
      </c>
      <c r="L265" s="15">
        <v>177568</v>
      </c>
      <c r="M265" s="16">
        <v>105219470000</v>
      </c>
      <c r="N265" s="16">
        <v>592558.74</v>
      </c>
      <c r="O265" s="17">
        <v>0.055681</v>
      </c>
    </row>
    <row r="266" spans="1:15">
      <c r="A266" t="s">
        <v>94</v>
      </c>
      <c r="B266" t="s">
        <v>95</v>
      </c>
      <c r="C266" t="s">
        <v>17</v>
      </c>
      <c r="D266" t="s">
        <v>39</v>
      </c>
      <c r="E266">
        <v>2018</v>
      </c>
      <c r="F266" s="15">
        <v>160226</v>
      </c>
      <c r="G266" s="16">
        <v>38541600000</v>
      </c>
      <c r="H266" s="15">
        <v>38551</v>
      </c>
      <c r="I266" s="16">
        <v>8904175000</v>
      </c>
      <c r="J266" s="15">
        <v>29230</v>
      </c>
      <c r="K266" s="16">
        <v>6025490000</v>
      </c>
      <c r="L266" s="15">
        <v>228007</v>
      </c>
      <c r="M266" s="16">
        <v>53471265000</v>
      </c>
      <c r="N266" s="16">
        <v>234515.89</v>
      </c>
      <c r="O266" s="17">
        <v>0.06360399999999999</v>
      </c>
    </row>
    <row r="267" spans="1:15">
      <c r="A267" t="s">
        <v>94</v>
      </c>
      <c r="B267" t="s">
        <v>95</v>
      </c>
      <c r="C267" t="s">
        <v>17</v>
      </c>
      <c r="D267" t="s">
        <v>39</v>
      </c>
      <c r="E267">
        <v>2019</v>
      </c>
      <c r="F267" s="15">
        <v>171585</v>
      </c>
      <c r="G267" s="16">
        <v>43929225000</v>
      </c>
      <c r="H267" s="15">
        <v>73863</v>
      </c>
      <c r="I267" s="16">
        <v>18742835000</v>
      </c>
      <c r="J267" s="15">
        <v>37460</v>
      </c>
      <c r="K267" s="16">
        <v>8401330000</v>
      </c>
      <c r="L267" s="15">
        <v>282908</v>
      </c>
      <c r="M267" s="16">
        <v>71073390000</v>
      </c>
      <c r="N267" s="16">
        <v>251224.39</v>
      </c>
      <c r="O267" s="17">
        <v>0.06675399999999999</v>
      </c>
    </row>
    <row r="268" spans="1:15">
      <c r="A268" t="s">
        <v>94</v>
      </c>
      <c r="B268" t="s">
        <v>95</v>
      </c>
      <c r="C268" t="s">
        <v>17</v>
      </c>
      <c r="D268" t="s">
        <v>39</v>
      </c>
      <c r="E268">
        <v>2020</v>
      </c>
      <c r="F268" s="15">
        <v>190932</v>
      </c>
      <c r="G268" s="16">
        <v>52504460000</v>
      </c>
      <c r="H268" s="15">
        <v>213949</v>
      </c>
      <c r="I268" s="16">
        <v>53738485000</v>
      </c>
      <c r="J268" s="15">
        <v>54767</v>
      </c>
      <c r="K268" s="16">
        <v>13652845000</v>
      </c>
      <c r="L268" s="15">
        <v>459648</v>
      </c>
      <c r="M268" s="16">
        <v>119895790000</v>
      </c>
      <c r="N268" s="16">
        <v>260842.62</v>
      </c>
      <c r="O268" s="17">
        <v>0.119899</v>
      </c>
    </row>
    <row r="269" spans="1:15">
      <c r="A269" t="s">
        <v>94</v>
      </c>
      <c r="B269" t="s">
        <v>95</v>
      </c>
      <c r="C269" t="s">
        <v>17</v>
      </c>
      <c r="D269" t="s">
        <v>39</v>
      </c>
      <c r="E269">
        <v>2021</v>
      </c>
      <c r="F269" s="15">
        <v>207231</v>
      </c>
      <c r="G269" s="16">
        <v>63731935000</v>
      </c>
      <c r="H269" s="15">
        <v>207308</v>
      </c>
      <c r="I269" s="16">
        <v>51365600000</v>
      </c>
      <c r="J269" s="15">
        <v>89240</v>
      </c>
      <c r="K269" s="16">
        <v>22123730000</v>
      </c>
      <c r="L269" s="15">
        <v>503779</v>
      </c>
      <c r="M269" s="16">
        <v>137221265000</v>
      </c>
      <c r="N269" s="16">
        <v>272383.85</v>
      </c>
      <c r="O269" s="17">
        <v>0.210103</v>
      </c>
    </row>
    <row r="270" spans="1:15">
      <c r="A270" t="s">
        <v>94</v>
      </c>
      <c r="B270" t="s">
        <v>95</v>
      </c>
      <c r="C270" t="s">
        <v>17</v>
      </c>
      <c r="D270" t="s">
        <v>39</v>
      </c>
      <c r="E270">
        <v>2022</v>
      </c>
      <c r="F270" s="15">
        <v>176106</v>
      </c>
      <c r="G270" s="16">
        <v>63519120000</v>
      </c>
      <c r="H270" s="15">
        <v>48967</v>
      </c>
      <c r="I270" s="16">
        <v>14021505000</v>
      </c>
      <c r="J270" s="15">
        <v>54565</v>
      </c>
      <c r="K270" s="16">
        <v>14327755000</v>
      </c>
      <c r="L270" s="15">
        <v>279638</v>
      </c>
      <c r="M270" s="16">
        <v>91868380000</v>
      </c>
      <c r="N270" s="16">
        <v>328526.09</v>
      </c>
      <c r="O270" s="17">
        <v>0.127769</v>
      </c>
    </row>
    <row r="271" spans="1:15">
      <c r="A271" t="s">
        <v>94</v>
      </c>
      <c r="B271" t="s">
        <v>95</v>
      </c>
      <c r="C271" t="s">
        <v>17</v>
      </c>
      <c r="D271" t="s">
        <v>39</v>
      </c>
      <c r="E271">
        <v>2023</v>
      </c>
      <c r="F271" s="15">
        <v>144033</v>
      </c>
      <c r="G271" s="16">
        <v>49269945000</v>
      </c>
      <c r="H271" s="15">
        <v>21210</v>
      </c>
      <c r="I271" s="16">
        <v>6322040000</v>
      </c>
      <c r="J271" s="15">
        <v>23632</v>
      </c>
      <c r="K271" s="16">
        <v>6006590000</v>
      </c>
      <c r="L271" s="15">
        <v>188875</v>
      </c>
      <c r="M271" s="16">
        <v>61598575000</v>
      </c>
      <c r="N271" s="16">
        <v>326134.08</v>
      </c>
      <c r="O271" s="17">
        <v>0.059891</v>
      </c>
    </row>
    <row r="272" spans="1:15">
      <c r="A272" t="s">
        <v>94</v>
      </c>
      <c r="B272" t="s">
        <v>95</v>
      </c>
      <c r="C272" t="s">
        <v>17</v>
      </c>
      <c r="D272" t="s">
        <v>39</v>
      </c>
      <c r="E272">
        <v>2024</v>
      </c>
      <c r="F272" s="15">
        <v>144457</v>
      </c>
      <c r="G272" s="16">
        <v>50787545000</v>
      </c>
      <c r="H272" s="15">
        <v>31567</v>
      </c>
      <c r="I272" s="16">
        <v>11557805000</v>
      </c>
      <c r="J272" s="15">
        <v>28990</v>
      </c>
      <c r="K272" s="16">
        <v>7964110000</v>
      </c>
      <c r="L272" s="15">
        <v>205014</v>
      </c>
      <c r="M272" s="16">
        <v>70309460000</v>
      </c>
      <c r="N272" s="16">
        <v>342949.55</v>
      </c>
      <c r="O272" s="17">
        <v>0.053946</v>
      </c>
    </row>
    <row r="273" spans="1:15">
      <c r="A273" t="s">
        <v>94</v>
      </c>
      <c r="B273" t="s">
        <v>95</v>
      </c>
      <c r="C273" t="s">
        <v>17</v>
      </c>
      <c r="D273" t="s">
        <v>39</v>
      </c>
      <c r="E273">
        <v>2025</v>
      </c>
      <c r="F273" s="15">
        <v>149850</v>
      </c>
      <c r="G273" s="16">
        <v>55248470000</v>
      </c>
      <c r="H273" s="15">
        <v>45270</v>
      </c>
      <c r="I273" s="16">
        <v>17854470000</v>
      </c>
      <c r="J273" s="15">
        <v>36649</v>
      </c>
      <c r="K273" s="16">
        <v>9250825000</v>
      </c>
      <c r="L273" s="15">
        <v>231769</v>
      </c>
      <c r="M273" s="16">
        <v>82353765000</v>
      </c>
      <c r="N273" s="16">
        <v>355326.92</v>
      </c>
      <c r="O273" s="17">
        <v>0.010829</v>
      </c>
    </row>
    <row r="274" spans="1:15">
      <c r="A274" t="s">
        <v>96</v>
      </c>
      <c r="B274" t="s">
        <v>97</v>
      </c>
      <c r="C274" t="s">
        <v>52</v>
      </c>
      <c r="D274" t="s">
        <v>58</v>
      </c>
      <c r="E274">
        <v>2018</v>
      </c>
      <c r="F274" s="15">
        <v>9558</v>
      </c>
      <c r="G274" s="16">
        <v>2187660000</v>
      </c>
      <c r="H274" s="15">
        <v>2329</v>
      </c>
      <c r="I274" s="16">
        <v>530835000</v>
      </c>
      <c r="J274" s="15">
        <v>2215</v>
      </c>
      <c r="K274" s="16">
        <v>405555000</v>
      </c>
      <c r="L274" s="15">
        <v>14102</v>
      </c>
      <c r="M274" s="16">
        <v>3124050000</v>
      </c>
      <c r="N274" s="16">
        <v>221532.41</v>
      </c>
      <c r="O274" s="17">
        <v>0.023532</v>
      </c>
    </row>
    <row r="275" spans="1:15">
      <c r="A275" t="s">
        <v>96</v>
      </c>
      <c r="B275" t="s">
        <v>97</v>
      </c>
      <c r="C275" t="s">
        <v>52</v>
      </c>
      <c r="D275" t="s">
        <v>58</v>
      </c>
      <c r="E275">
        <v>2019</v>
      </c>
      <c r="F275" s="15">
        <v>9886</v>
      </c>
      <c r="G275" s="16">
        <v>2407500000</v>
      </c>
      <c r="H275" s="15">
        <v>3892</v>
      </c>
      <c r="I275" s="16">
        <v>1100560000</v>
      </c>
      <c r="J275" s="15">
        <v>2450</v>
      </c>
      <c r="K275" s="16">
        <v>523160000</v>
      </c>
      <c r="L275" s="15">
        <v>16228</v>
      </c>
      <c r="M275" s="16">
        <v>4031220000</v>
      </c>
      <c r="N275" s="16">
        <v>248411.39</v>
      </c>
      <c r="O275" s="17">
        <v>0.020141</v>
      </c>
    </row>
    <row r="276" spans="1:15">
      <c r="A276" t="s">
        <v>96</v>
      </c>
      <c r="B276" t="s">
        <v>97</v>
      </c>
      <c r="C276" t="s">
        <v>52</v>
      </c>
      <c r="D276" t="s">
        <v>58</v>
      </c>
      <c r="E276">
        <v>2020</v>
      </c>
      <c r="F276" s="15">
        <v>10949</v>
      </c>
      <c r="G276" s="16">
        <v>2674845000</v>
      </c>
      <c r="H276" s="15">
        <v>12694</v>
      </c>
      <c r="I276" s="16">
        <v>3358040000</v>
      </c>
      <c r="J276" s="15">
        <v>4540</v>
      </c>
      <c r="K276" s="16">
        <v>1034480000</v>
      </c>
      <c r="L276" s="15">
        <v>28183</v>
      </c>
      <c r="M276" s="16">
        <v>7067365000</v>
      </c>
      <c r="N276" s="16">
        <v>250766.95</v>
      </c>
      <c r="O276" s="17">
        <v>0.069102</v>
      </c>
    </row>
    <row r="277" spans="1:15">
      <c r="A277" t="s">
        <v>96</v>
      </c>
      <c r="B277" t="s">
        <v>97</v>
      </c>
      <c r="C277" t="s">
        <v>52</v>
      </c>
      <c r="D277" t="s">
        <v>58</v>
      </c>
      <c r="E277">
        <v>2021</v>
      </c>
      <c r="F277" s="15">
        <v>12183</v>
      </c>
      <c r="G277" s="16">
        <v>3271855000</v>
      </c>
      <c r="H277" s="15">
        <v>9844</v>
      </c>
      <c r="I277" s="16">
        <v>2371390000</v>
      </c>
      <c r="J277" s="15">
        <v>4334</v>
      </c>
      <c r="K277" s="16">
        <v>961750000</v>
      </c>
      <c r="L277" s="15">
        <v>26361</v>
      </c>
      <c r="M277" s="16">
        <v>6604995000</v>
      </c>
      <c r="N277" s="16">
        <v>250559.35</v>
      </c>
      <c r="O277" s="17">
        <v>0.102224</v>
      </c>
    </row>
    <row r="278" spans="1:15">
      <c r="A278" t="s">
        <v>96</v>
      </c>
      <c r="B278" t="s">
        <v>97</v>
      </c>
      <c r="C278" t="s">
        <v>52</v>
      </c>
      <c r="D278" t="s">
        <v>58</v>
      </c>
      <c r="E278">
        <v>2022</v>
      </c>
      <c r="F278" s="15">
        <v>9974</v>
      </c>
      <c r="G278" s="16">
        <v>2931750000</v>
      </c>
      <c r="H278" s="15">
        <v>2134</v>
      </c>
      <c r="I278" s="16">
        <v>553760000</v>
      </c>
      <c r="J278" s="15">
        <v>1732</v>
      </c>
      <c r="K278" s="16">
        <v>443250000</v>
      </c>
      <c r="L278" s="15">
        <v>13840</v>
      </c>
      <c r="M278" s="16">
        <v>3928760000</v>
      </c>
      <c r="N278" s="16">
        <v>283869.94</v>
      </c>
      <c r="O278" s="17">
        <v>0.060258</v>
      </c>
    </row>
    <row r="279" spans="1:15">
      <c r="A279" t="s">
        <v>96</v>
      </c>
      <c r="B279" t="s">
        <v>97</v>
      </c>
      <c r="C279" t="s">
        <v>52</v>
      </c>
      <c r="D279" t="s">
        <v>58</v>
      </c>
      <c r="E279">
        <v>2023</v>
      </c>
      <c r="F279" s="15">
        <v>7769</v>
      </c>
      <c r="G279" s="16">
        <v>2158985000</v>
      </c>
      <c r="H279" s="15">
        <v>972</v>
      </c>
      <c r="I279" s="16">
        <v>345450000</v>
      </c>
      <c r="J279" s="15">
        <v>906</v>
      </c>
      <c r="K279" s="16">
        <v>160880000</v>
      </c>
      <c r="L279" s="15">
        <v>9647</v>
      </c>
      <c r="M279" s="16">
        <v>2665315000</v>
      </c>
      <c r="N279" s="16">
        <v>276284.34</v>
      </c>
      <c r="O279" s="17">
        <v>0.05259</v>
      </c>
    </row>
    <row r="280" spans="1:15">
      <c r="A280" t="s">
        <v>96</v>
      </c>
      <c r="B280" t="s">
        <v>97</v>
      </c>
      <c r="C280" t="s">
        <v>52</v>
      </c>
      <c r="D280" t="s">
        <v>58</v>
      </c>
      <c r="E280">
        <v>2024</v>
      </c>
      <c r="F280" s="15">
        <v>8305</v>
      </c>
      <c r="G280" s="16">
        <v>2369725000</v>
      </c>
      <c r="H280" s="15">
        <v>1429</v>
      </c>
      <c r="I280" s="16">
        <v>425765000</v>
      </c>
      <c r="J280" s="15">
        <v>1054</v>
      </c>
      <c r="K280" s="16">
        <v>204140000</v>
      </c>
      <c r="L280" s="15">
        <v>10788</v>
      </c>
      <c r="M280" s="16">
        <v>2999630000</v>
      </c>
      <c r="N280" s="16">
        <v>278052.47</v>
      </c>
      <c r="O280" s="17">
        <v>0.029519</v>
      </c>
    </row>
    <row r="281" spans="1:15">
      <c r="A281" t="s">
        <v>96</v>
      </c>
      <c r="B281" t="s">
        <v>97</v>
      </c>
      <c r="C281" t="s">
        <v>52</v>
      </c>
      <c r="D281" t="s">
        <v>58</v>
      </c>
      <c r="E281">
        <v>2025</v>
      </c>
      <c r="F281" s="15">
        <v>8375</v>
      </c>
      <c r="G281" s="16">
        <v>2690335000</v>
      </c>
      <c r="H281" s="15">
        <v>2022</v>
      </c>
      <c r="I281" s="16">
        <v>680320000</v>
      </c>
      <c r="J281" s="15">
        <v>1273</v>
      </c>
      <c r="K281" s="16">
        <v>287395000</v>
      </c>
      <c r="L281" s="15">
        <v>11670</v>
      </c>
      <c r="M281" s="16">
        <v>3658050000</v>
      </c>
      <c r="N281" s="16">
        <v>313457.58</v>
      </c>
      <c r="O281" s="17">
        <v>0.062597</v>
      </c>
    </row>
    <row r="282" spans="1:15">
      <c r="A282" t="s">
        <v>98</v>
      </c>
      <c r="B282" t="s">
        <v>99</v>
      </c>
      <c r="C282" t="s">
        <v>52</v>
      </c>
      <c r="D282" t="s">
        <v>53</v>
      </c>
      <c r="E282">
        <v>2018</v>
      </c>
      <c r="F282" s="15">
        <v>149576</v>
      </c>
      <c r="G282" s="16">
        <v>28964610000</v>
      </c>
      <c r="H282" s="15">
        <v>45927</v>
      </c>
      <c r="I282" s="16">
        <v>7378915000</v>
      </c>
      <c r="J282" s="15">
        <v>40478</v>
      </c>
      <c r="K282" s="16">
        <v>5793610000</v>
      </c>
      <c r="L282" s="15">
        <v>235981</v>
      </c>
      <c r="M282" s="16">
        <v>42137135000</v>
      </c>
      <c r="N282" s="16">
        <v>178561.56</v>
      </c>
      <c r="O282" s="17">
        <v>0.058789</v>
      </c>
    </row>
    <row r="283" spans="1:15">
      <c r="A283" t="s">
        <v>98</v>
      </c>
      <c r="B283" t="s">
        <v>99</v>
      </c>
      <c r="C283" t="s">
        <v>52</v>
      </c>
      <c r="D283" t="s">
        <v>53</v>
      </c>
      <c r="E283">
        <v>2019</v>
      </c>
      <c r="F283" s="15">
        <v>156007</v>
      </c>
      <c r="G283" s="16">
        <v>30599425000</v>
      </c>
      <c r="H283" s="15">
        <v>74893</v>
      </c>
      <c r="I283" s="16">
        <v>14651305000</v>
      </c>
      <c r="J283" s="15">
        <v>45846</v>
      </c>
      <c r="K283" s="16">
        <v>7834040000</v>
      </c>
      <c r="L283" s="15">
        <v>276746</v>
      </c>
      <c r="M283" s="16">
        <v>53084770000</v>
      </c>
      <c r="N283" s="16">
        <v>191817.66</v>
      </c>
      <c r="O283" s="17">
        <v>0.06464399999999999</v>
      </c>
    </row>
    <row r="284" spans="1:15">
      <c r="A284" t="s">
        <v>98</v>
      </c>
      <c r="B284" t="s">
        <v>99</v>
      </c>
      <c r="C284" t="s">
        <v>52</v>
      </c>
      <c r="D284" t="s">
        <v>53</v>
      </c>
      <c r="E284">
        <v>2020</v>
      </c>
      <c r="F284" s="15">
        <v>164995</v>
      </c>
      <c r="G284" s="16">
        <v>34350775000</v>
      </c>
      <c r="H284" s="15">
        <v>191860</v>
      </c>
      <c r="I284" s="16">
        <v>39632900000</v>
      </c>
      <c r="J284" s="15">
        <v>67170</v>
      </c>
      <c r="K284" s="16">
        <v>12641580000</v>
      </c>
      <c r="L284" s="15">
        <v>424025</v>
      </c>
      <c r="M284" s="16">
        <v>86625255000</v>
      </c>
      <c r="N284" s="16">
        <v>204292.8</v>
      </c>
      <c r="O284" s="17">
        <v>0.122246</v>
      </c>
    </row>
    <row r="285" spans="1:15">
      <c r="A285" t="s">
        <v>98</v>
      </c>
      <c r="B285" t="s">
        <v>99</v>
      </c>
      <c r="C285" t="s">
        <v>52</v>
      </c>
      <c r="D285" t="s">
        <v>53</v>
      </c>
      <c r="E285">
        <v>2021</v>
      </c>
      <c r="F285" s="15">
        <v>175383</v>
      </c>
      <c r="G285" s="16">
        <v>40836665000</v>
      </c>
      <c r="H285" s="15">
        <v>178979</v>
      </c>
      <c r="I285" s="16">
        <v>35476575000</v>
      </c>
      <c r="J285" s="15">
        <v>93327</v>
      </c>
      <c r="K285" s="16">
        <v>17341915000</v>
      </c>
      <c r="L285" s="15">
        <v>447689</v>
      </c>
      <c r="M285" s="16">
        <v>93655155000</v>
      </c>
      <c r="N285" s="16">
        <v>209196.91</v>
      </c>
      <c r="O285" s="17">
        <v>0.134625</v>
      </c>
    </row>
    <row r="286" spans="1:15">
      <c r="A286" t="s">
        <v>98</v>
      </c>
      <c r="B286" t="s">
        <v>99</v>
      </c>
      <c r="C286" t="s">
        <v>52</v>
      </c>
      <c r="D286" t="s">
        <v>53</v>
      </c>
      <c r="E286">
        <v>2022</v>
      </c>
      <c r="F286" s="15">
        <v>150297</v>
      </c>
      <c r="G286" s="16">
        <v>38977295000</v>
      </c>
      <c r="H286" s="15">
        <v>44678</v>
      </c>
      <c r="I286" s="16">
        <v>9516640000</v>
      </c>
      <c r="J286" s="15">
        <v>55046</v>
      </c>
      <c r="K286" s="16">
        <v>10516980000</v>
      </c>
      <c r="L286" s="15">
        <v>250021</v>
      </c>
      <c r="M286" s="16">
        <v>59010915000</v>
      </c>
      <c r="N286" s="16">
        <v>236023.83</v>
      </c>
      <c r="O286" s="17">
        <v>0.082925</v>
      </c>
    </row>
    <row r="287" spans="1:15">
      <c r="A287" t="s">
        <v>98</v>
      </c>
      <c r="B287" t="s">
        <v>99</v>
      </c>
      <c r="C287" t="s">
        <v>52</v>
      </c>
      <c r="D287" t="s">
        <v>53</v>
      </c>
      <c r="E287">
        <v>2023</v>
      </c>
      <c r="F287" s="15">
        <v>122845</v>
      </c>
      <c r="G287" s="16">
        <v>31138425000</v>
      </c>
      <c r="H287" s="15">
        <v>19294</v>
      </c>
      <c r="I287" s="16">
        <v>4420660000</v>
      </c>
      <c r="J287" s="15">
        <v>29665</v>
      </c>
      <c r="K287" s="16">
        <v>5429935000</v>
      </c>
      <c r="L287" s="15">
        <v>171804</v>
      </c>
      <c r="M287" s="16">
        <v>40989020000</v>
      </c>
      <c r="N287" s="16">
        <v>238580.13</v>
      </c>
      <c r="O287" s="17">
        <v>0.08637599999999999</v>
      </c>
    </row>
    <row r="288" spans="1:15">
      <c r="A288" t="s">
        <v>98</v>
      </c>
      <c r="B288" t="s">
        <v>99</v>
      </c>
      <c r="C288" t="s">
        <v>52</v>
      </c>
      <c r="D288" t="s">
        <v>53</v>
      </c>
      <c r="E288">
        <v>2024</v>
      </c>
      <c r="F288" s="15">
        <v>127222</v>
      </c>
      <c r="G288" s="16">
        <v>33988690000</v>
      </c>
      <c r="H288" s="15">
        <v>29231</v>
      </c>
      <c r="I288" s="16">
        <v>7624915000</v>
      </c>
      <c r="J288" s="15">
        <v>32431</v>
      </c>
      <c r="K288" s="16">
        <v>6589235000</v>
      </c>
      <c r="L288" s="15">
        <v>188884</v>
      </c>
      <c r="M288" s="16">
        <v>48202840000</v>
      </c>
      <c r="N288" s="16">
        <v>255198.11</v>
      </c>
      <c r="O288" s="17">
        <v>0.067469</v>
      </c>
    </row>
    <row r="289" spans="1:15">
      <c r="A289" t="s">
        <v>98</v>
      </c>
      <c r="B289" t="s">
        <v>99</v>
      </c>
      <c r="C289" t="s">
        <v>52</v>
      </c>
      <c r="D289" t="s">
        <v>53</v>
      </c>
      <c r="E289">
        <v>2025</v>
      </c>
      <c r="F289" s="15">
        <v>133015</v>
      </c>
      <c r="G289" s="16">
        <v>37472935000</v>
      </c>
      <c r="H289" s="15">
        <v>44010</v>
      </c>
      <c r="I289" s="16">
        <v>11694560000</v>
      </c>
      <c r="J289" s="15">
        <v>39554</v>
      </c>
      <c r="K289" s="16">
        <v>8143780000</v>
      </c>
      <c r="L289" s="15">
        <v>216579</v>
      </c>
      <c r="M289" s="16">
        <v>57311275000</v>
      </c>
      <c r="N289" s="16">
        <v>264620.65</v>
      </c>
      <c r="O289" s="17">
        <v>0.046511</v>
      </c>
    </row>
    <row r="290" spans="1:15">
      <c r="A290" t="s">
        <v>100</v>
      </c>
      <c r="B290" t="s">
        <v>101</v>
      </c>
      <c r="C290" t="s">
        <v>17</v>
      </c>
      <c r="D290" t="s">
        <v>28</v>
      </c>
      <c r="E290">
        <v>2018</v>
      </c>
      <c r="F290" s="15">
        <v>50110</v>
      </c>
      <c r="G290" s="16">
        <v>8825660000</v>
      </c>
      <c r="H290" s="15">
        <v>10523</v>
      </c>
      <c r="I290" s="16">
        <v>1916675000</v>
      </c>
      <c r="J290" s="15">
        <v>8472</v>
      </c>
      <c r="K290" s="16">
        <v>1254610000</v>
      </c>
      <c r="L290" s="15">
        <v>69105</v>
      </c>
      <c r="M290" s="16">
        <v>11996945000</v>
      </c>
      <c r="N290" s="16">
        <v>173604.59</v>
      </c>
      <c r="O290" s="17">
        <v>0.037235</v>
      </c>
    </row>
    <row r="291" spans="1:15">
      <c r="A291" t="s">
        <v>100</v>
      </c>
      <c r="B291" t="s">
        <v>101</v>
      </c>
      <c r="C291" t="s">
        <v>17</v>
      </c>
      <c r="D291" t="s">
        <v>28</v>
      </c>
      <c r="E291">
        <v>2019</v>
      </c>
      <c r="F291" s="15">
        <v>53621</v>
      </c>
      <c r="G291" s="16">
        <v>10235265000</v>
      </c>
      <c r="H291" s="15">
        <v>14478</v>
      </c>
      <c r="I291" s="16">
        <v>2913920000</v>
      </c>
      <c r="J291" s="15">
        <v>9174</v>
      </c>
      <c r="K291" s="16">
        <v>1614930000</v>
      </c>
      <c r="L291" s="15">
        <v>77273</v>
      </c>
      <c r="M291" s="16">
        <v>14764115000</v>
      </c>
      <c r="N291" s="16">
        <v>191064.34</v>
      </c>
      <c r="O291" s="17">
        <v>0.042605</v>
      </c>
    </row>
    <row r="292" spans="1:15">
      <c r="A292" t="s">
        <v>100</v>
      </c>
      <c r="B292" t="s">
        <v>101</v>
      </c>
      <c r="C292" t="s">
        <v>17</v>
      </c>
      <c r="D292" t="s">
        <v>28</v>
      </c>
      <c r="E292">
        <v>2020</v>
      </c>
      <c r="F292" s="15">
        <v>58276</v>
      </c>
      <c r="G292" s="16">
        <v>11689930000</v>
      </c>
      <c r="H292" s="15">
        <v>42040</v>
      </c>
      <c r="I292" s="16">
        <v>9122390000</v>
      </c>
      <c r="J292" s="15">
        <v>12758</v>
      </c>
      <c r="K292" s="16">
        <v>2517740000</v>
      </c>
      <c r="L292" s="15">
        <v>113074</v>
      </c>
      <c r="M292" s="16">
        <v>23330060000</v>
      </c>
      <c r="N292" s="16">
        <v>206325.59</v>
      </c>
      <c r="O292" s="17">
        <v>0.09382600000000001</v>
      </c>
    </row>
    <row r="293" spans="1:15">
      <c r="A293" t="s">
        <v>100</v>
      </c>
      <c r="B293" t="s">
        <v>101</v>
      </c>
      <c r="C293" t="s">
        <v>17</v>
      </c>
      <c r="D293" t="s">
        <v>28</v>
      </c>
      <c r="E293">
        <v>2021</v>
      </c>
      <c r="F293" s="15">
        <v>62645</v>
      </c>
      <c r="G293" s="16">
        <v>13795555000</v>
      </c>
      <c r="H293" s="15">
        <v>38962</v>
      </c>
      <c r="I293" s="16">
        <v>8202910000</v>
      </c>
      <c r="J293" s="15">
        <v>16947</v>
      </c>
      <c r="K293" s="16">
        <v>3316555000</v>
      </c>
      <c r="L293" s="15">
        <v>118554</v>
      </c>
      <c r="M293" s="16">
        <v>25315020000</v>
      </c>
      <c r="N293" s="16">
        <v>213531.56</v>
      </c>
      <c r="O293" s="17">
        <v>0.160829</v>
      </c>
    </row>
    <row r="294" spans="1:15">
      <c r="A294" t="s">
        <v>100</v>
      </c>
      <c r="B294" t="s">
        <v>101</v>
      </c>
      <c r="C294" t="s">
        <v>17</v>
      </c>
      <c r="D294" t="s">
        <v>28</v>
      </c>
      <c r="E294">
        <v>2022</v>
      </c>
      <c r="F294" s="15">
        <v>54449</v>
      </c>
      <c r="G294" s="16">
        <v>13649615000</v>
      </c>
      <c r="H294" s="15">
        <v>10761</v>
      </c>
      <c r="I294" s="16">
        <v>2479225000</v>
      </c>
      <c r="J294" s="15">
        <v>11891</v>
      </c>
      <c r="K294" s="16">
        <v>2417545000</v>
      </c>
      <c r="L294" s="15">
        <v>77101</v>
      </c>
      <c r="M294" s="16">
        <v>18546385000</v>
      </c>
      <c r="N294" s="16">
        <v>240546.62</v>
      </c>
      <c r="O294" s="17">
        <v>0.096581</v>
      </c>
    </row>
    <row r="295" spans="1:15">
      <c r="A295" t="s">
        <v>100</v>
      </c>
      <c r="B295" t="s">
        <v>101</v>
      </c>
      <c r="C295" t="s">
        <v>17</v>
      </c>
      <c r="D295" t="s">
        <v>28</v>
      </c>
      <c r="E295">
        <v>2023</v>
      </c>
      <c r="F295" s="15">
        <v>45076</v>
      </c>
      <c r="G295" s="16">
        <v>10777770000</v>
      </c>
      <c r="H295" s="15">
        <v>5559</v>
      </c>
      <c r="I295" s="16">
        <v>1366295000</v>
      </c>
      <c r="J295" s="15">
        <v>5862</v>
      </c>
      <c r="K295" s="16">
        <v>1146160000</v>
      </c>
      <c r="L295" s="15">
        <v>56497</v>
      </c>
      <c r="M295" s="16">
        <v>13290225000</v>
      </c>
      <c r="N295" s="16">
        <v>235237.71</v>
      </c>
      <c r="O295" s="17">
        <v>0.042773</v>
      </c>
    </row>
    <row r="296" spans="1:15">
      <c r="A296" t="s">
        <v>100</v>
      </c>
      <c r="B296" t="s">
        <v>101</v>
      </c>
      <c r="C296" t="s">
        <v>17</v>
      </c>
      <c r="D296" t="s">
        <v>28</v>
      </c>
      <c r="E296">
        <v>2024</v>
      </c>
      <c r="F296" s="15">
        <v>46339</v>
      </c>
      <c r="G296" s="16">
        <v>11712945000</v>
      </c>
      <c r="H296" s="15">
        <v>7925</v>
      </c>
      <c r="I296" s="16">
        <v>2095005000</v>
      </c>
      <c r="J296" s="15">
        <v>7291</v>
      </c>
      <c r="K296" s="16">
        <v>1439525000</v>
      </c>
      <c r="L296" s="15">
        <v>61555</v>
      </c>
      <c r="M296" s="16">
        <v>15247475000</v>
      </c>
      <c r="N296" s="16">
        <v>247704.9</v>
      </c>
      <c r="O296" s="17">
        <v>0.04244</v>
      </c>
    </row>
    <row r="297" spans="1:15">
      <c r="A297" t="s">
        <v>100</v>
      </c>
      <c r="B297" t="s">
        <v>101</v>
      </c>
      <c r="C297" t="s">
        <v>17</v>
      </c>
      <c r="D297" t="s">
        <v>28</v>
      </c>
      <c r="E297">
        <v>2025</v>
      </c>
      <c r="F297" s="15">
        <v>47287</v>
      </c>
      <c r="G297" s="16">
        <v>12314845000</v>
      </c>
      <c r="H297" s="15">
        <v>11025</v>
      </c>
      <c r="I297" s="16">
        <v>3463475000</v>
      </c>
      <c r="J297" s="15">
        <v>9345</v>
      </c>
      <c r="K297" s="16">
        <v>1717605000</v>
      </c>
      <c r="L297" s="15">
        <v>67657</v>
      </c>
      <c r="M297" s="16">
        <v>17495925000</v>
      </c>
      <c r="N297" s="16">
        <v>258597.41</v>
      </c>
      <c r="O297" s="17">
        <v>0.033922</v>
      </c>
    </row>
    <row r="298" spans="1:15">
      <c r="A298" t="s">
        <v>102</v>
      </c>
      <c r="B298" t="s">
        <v>103</v>
      </c>
      <c r="C298" t="s">
        <v>21</v>
      </c>
      <c r="D298" t="s">
        <v>22</v>
      </c>
      <c r="E298">
        <v>2018</v>
      </c>
      <c r="F298" s="15">
        <v>62677</v>
      </c>
      <c r="G298" s="16">
        <v>20014165000</v>
      </c>
      <c r="H298" s="15">
        <v>15384</v>
      </c>
      <c r="I298" s="16">
        <v>4534590000</v>
      </c>
      <c r="J298" s="15">
        <v>23584</v>
      </c>
      <c r="K298" s="16">
        <v>6196820000</v>
      </c>
      <c r="L298" s="15">
        <v>101645</v>
      </c>
      <c r="M298" s="16">
        <v>30745575000</v>
      </c>
      <c r="N298" s="16">
        <v>302479.95</v>
      </c>
      <c r="O298" s="17">
        <v>0.05927</v>
      </c>
    </row>
    <row r="299" spans="1:15">
      <c r="A299" t="s">
        <v>102</v>
      </c>
      <c r="B299" t="s">
        <v>103</v>
      </c>
      <c r="C299" t="s">
        <v>21</v>
      </c>
      <c r="D299" t="s">
        <v>22</v>
      </c>
      <c r="E299">
        <v>2019</v>
      </c>
      <c r="F299" s="15">
        <v>63348</v>
      </c>
      <c r="G299" s="16">
        <v>21083940000</v>
      </c>
      <c r="H299" s="15">
        <v>35809</v>
      </c>
      <c r="I299" s="16">
        <v>12440175000</v>
      </c>
      <c r="J299" s="15">
        <v>30724</v>
      </c>
      <c r="K299" s="16">
        <v>8655720000</v>
      </c>
      <c r="L299" s="15">
        <v>129881</v>
      </c>
      <c r="M299" s="16">
        <v>42179835000</v>
      </c>
      <c r="N299" s="16">
        <v>324757.55</v>
      </c>
      <c r="O299" s="17">
        <v>0.055978</v>
      </c>
    </row>
    <row r="300" spans="1:15">
      <c r="A300" t="s">
        <v>102</v>
      </c>
      <c r="B300" t="s">
        <v>103</v>
      </c>
      <c r="C300" t="s">
        <v>21</v>
      </c>
      <c r="D300" t="s">
        <v>22</v>
      </c>
      <c r="E300">
        <v>2020</v>
      </c>
      <c r="F300" s="15">
        <v>69610</v>
      </c>
      <c r="G300" s="16">
        <v>25219520000</v>
      </c>
      <c r="H300" s="15">
        <v>112770</v>
      </c>
      <c r="I300" s="16">
        <v>34774280000</v>
      </c>
      <c r="J300" s="15">
        <v>46748</v>
      </c>
      <c r="K300" s="16">
        <v>13812240000</v>
      </c>
      <c r="L300" s="15">
        <v>229128</v>
      </c>
      <c r="M300" s="16">
        <v>73806040000</v>
      </c>
      <c r="N300" s="16">
        <v>322117.07</v>
      </c>
      <c r="O300" s="17">
        <v>0.116854</v>
      </c>
    </row>
    <row r="301" spans="1:15">
      <c r="A301" t="s">
        <v>102</v>
      </c>
      <c r="B301" t="s">
        <v>103</v>
      </c>
      <c r="C301" t="s">
        <v>21</v>
      </c>
      <c r="D301" t="s">
        <v>22</v>
      </c>
      <c r="E301">
        <v>2021</v>
      </c>
      <c r="F301" s="15">
        <v>75446</v>
      </c>
      <c r="G301" s="16">
        <v>31323560000</v>
      </c>
      <c r="H301" s="15">
        <v>91515</v>
      </c>
      <c r="I301" s="16">
        <v>28295325000</v>
      </c>
      <c r="J301" s="15">
        <v>57266</v>
      </c>
      <c r="K301" s="16">
        <v>17928110000</v>
      </c>
      <c r="L301" s="15">
        <v>224227</v>
      </c>
      <c r="M301" s="16">
        <v>77546995000</v>
      </c>
      <c r="N301" s="16">
        <v>345841.47</v>
      </c>
      <c r="O301" s="17">
        <v>0.17237</v>
      </c>
    </row>
    <row r="302" spans="1:15">
      <c r="A302" t="s">
        <v>102</v>
      </c>
      <c r="B302" t="s">
        <v>103</v>
      </c>
      <c r="C302" t="s">
        <v>21</v>
      </c>
      <c r="D302" t="s">
        <v>22</v>
      </c>
      <c r="E302">
        <v>2022</v>
      </c>
      <c r="F302" s="15">
        <v>57455</v>
      </c>
      <c r="G302" s="16">
        <v>26192255000</v>
      </c>
      <c r="H302" s="15">
        <v>14246</v>
      </c>
      <c r="I302" s="16">
        <v>5658920000</v>
      </c>
      <c r="J302" s="15">
        <v>22817</v>
      </c>
      <c r="K302" s="16">
        <v>7559035000</v>
      </c>
      <c r="L302" s="15">
        <v>94518</v>
      </c>
      <c r="M302" s="16">
        <v>39410210000</v>
      </c>
      <c r="N302" s="16">
        <v>416959.84</v>
      </c>
      <c r="O302" s="17">
        <v>0.033393</v>
      </c>
    </row>
    <row r="303" spans="1:15">
      <c r="A303" t="s">
        <v>102</v>
      </c>
      <c r="B303" t="s">
        <v>103</v>
      </c>
      <c r="C303" t="s">
        <v>21</v>
      </c>
      <c r="D303" t="s">
        <v>22</v>
      </c>
      <c r="E303">
        <v>2023</v>
      </c>
      <c r="F303" s="15">
        <v>39869</v>
      </c>
      <c r="G303" s="16">
        <v>17170735000</v>
      </c>
      <c r="H303" s="15">
        <v>4931</v>
      </c>
      <c r="I303" s="16">
        <v>2349825000</v>
      </c>
      <c r="J303" s="15">
        <v>7023</v>
      </c>
      <c r="K303" s="16">
        <v>2019335000</v>
      </c>
      <c r="L303" s="15">
        <v>51823</v>
      </c>
      <c r="M303" s="16">
        <v>21539895000</v>
      </c>
      <c r="N303" s="16">
        <v>415643.54</v>
      </c>
      <c r="O303" s="17">
        <v>0.009689</v>
      </c>
    </row>
    <row r="304" spans="1:15">
      <c r="A304" t="s">
        <v>102</v>
      </c>
      <c r="B304" t="s">
        <v>103</v>
      </c>
      <c r="C304" t="s">
        <v>21</v>
      </c>
      <c r="D304" t="s">
        <v>22</v>
      </c>
      <c r="E304">
        <v>2024</v>
      </c>
      <c r="F304" s="15">
        <v>42014</v>
      </c>
      <c r="G304" s="16">
        <v>18278290000</v>
      </c>
      <c r="H304" s="15">
        <v>8266</v>
      </c>
      <c r="I304" s="16">
        <v>3761110000</v>
      </c>
      <c r="J304" s="15">
        <v>8607</v>
      </c>
      <c r="K304" s="16">
        <v>3414995000</v>
      </c>
      <c r="L304" s="15">
        <v>58887</v>
      </c>
      <c r="M304" s="16">
        <v>25454395000</v>
      </c>
      <c r="N304" s="16">
        <v>432258.31</v>
      </c>
      <c r="O304" s="17">
        <v>0.031188</v>
      </c>
    </row>
    <row r="305" spans="1:15">
      <c r="A305" t="s">
        <v>102</v>
      </c>
      <c r="B305" t="s">
        <v>103</v>
      </c>
      <c r="C305" t="s">
        <v>21</v>
      </c>
      <c r="D305" t="s">
        <v>22</v>
      </c>
      <c r="E305">
        <v>2025</v>
      </c>
      <c r="F305" s="15">
        <v>43910</v>
      </c>
      <c r="G305" s="16">
        <v>20897580000</v>
      </c>
      <c r="H305" s="15">
        <v>12826</v>
      </c>
      <c r="I305" s="16">
        <v>5776660000</v>
      </c>
      <c r="J305" s="15">
        <v>11940</v>
      </c>
      <c r="K305" s="16">
        <v>3591600000</v>
      </c>
      <c r="L305" s="15">
        <v>68676</v>
      </c>
      <c r="M305" s="16">
        <v>30265840000</v>
      </c>
      <c r="N305" s="16">
        <v>440704.76</v>
      </c>
      <c r="O305" s="17">
        <v>0.004637</v>
      </c>
    </row>
    <row r="306" spans="1:15">
      <c r="A306" t="s">
        <v>104</v>
      </c>
      <c r="B306" t="s">
        <v>105</v>
      </c>
      <c r="C306" t="s">
        <v>35</v>
      </c>
      <c r="D306" t="s">
        <v>89</v>
      </c>
      <c r="E306">
        <v>2018</v>
      </c>
      <c r="F306" s="15">
        <v>144221</v>
      </c>
      <c r="G306" s="16">
        <v>31383735000</v>
      </c>
      <c r="H306" s="15">
        <v>58340</v>
      </c>
      <c r="I306" s="16">
        <v>11237690000</v>
      </c>
      <c r="J306" s="15">
        <v>32831</v>
      </c>
      <c r="K306" s="16">
        <v>5691335000</v>
      </c>
      <c r="L306" s="15">
        <v>235392</v>
      </c>
      <c r="M306" s="16">
        <v>48312760000</v>
      </c>
      <c r="N306" s="16">
        <v>205243.85</v>
      </c>
      <c r="O306" s="17">
        <v>0.045614</v>
      </c>
    </row>
    <row r="307" spans="1:15">
      <c r="A307" t="s">
        <v>104</v>
      </c>
      <c r="B307" t="s">
        <v>105</v>
      </c>
      <c r="C307" t="s">
        <v>35</v>
      </c>
      <c r="D307" t="s">
        <v>89</v>
      </c>
      <c r="E307">
        <v>2019</v>
      </c>
      <c r="F307" s="15">
        <v>148935</v>
      </c>
      <c r="G307" s="16">
        <v>34632555000</v>
      </c>
      <c r="H307" s="15">
        <v>81155</v>
      </c>
      <c r="I307" s="16">
        <v>18320755000</v>
      </c>
      <c r="J307" s="15">
        <v>40172</v>
      </c>
      <c r="K307" s="16">
        <v>7775050000</v>
      </c>
      <c r="L307" s="15">
        <v>270262</v>
      </c>
      <c r="M307" s="16">
        <v>60728360000</v>
      </c>
      <c r="N307" s="16">
        <v>224701.81</v>
      </c>
      <c r="O307" s="17">
        <v>0.050269</v>
      </c>
    </row>
    <row r="308" spans="1:15">
      <c r="A308" t="s">
        <v>104</v>
      </c>
      <c r="B308" t="s">
        <v>105</v>
      </c>
      <c r="C308" t="s">
        <v>35</v>
      </c>
      <c r="D308" t="s">
        <v>89</v>
      </c>
      <c r="E308">
        <v>2020</v>
      </c>
      <c r="F308" s="15">
        <v>155297</v>
      </c>
      <c r="G308" s="16">
        <v>37335665000</v>
      </c>
      <c r="H308" s="15">
        <v>196171</v>
      </c>
      <c r="I308" s="16">
        <v>49301305000</v>
      </c>
      <c r="J308" s="15">
        <v>57741</v>
      </c>
      <c r="K308" s="16">
        <v>13090845000</v>
      </c>
      <c r="L308" s="15">
        <v>409209</v>
      </c>
      <c r="M308" s="16">
        <v>99727815000</v>
      </c>
      <c r="N308" s="16">
        <v>243708.75</v>
      </c>
      <c r="O308" s="17">
        <v>0.109155</v>
      </c>
    </row>
    <row r="309" spans="1:15">
      <c r="A309" t="s">
        <v>104</v>
      </c>
      <c r="B309" t="s">
        <v>105</v>
      </c>
      <c r="C309" t="s">
        <v>35</v>
      </c>
      <c r="D309" t="s">
        <v>89</v>
      </c>
      <c r="E309">
        <v>2021</v>
      </c>
      <c r="F309" s="15">
        <v>176448</v>
      </c>
      <c r="G309" s="16">
        <v>47097280000</v>
      </c>
      <c r="H309" s="15">
        <v>190007</v>
      </c>
      <c r="I309" s="16">
        <v>44777115000</v>
      </c>
      <c r="J309" s="15">
        <v>87399</v>
      </c>
      <c r="K309" s="16">
        <v>19885795000</v>
      </c>
      <c r="L309" s="15">
        <v>453854</v>
      </c>
      <c r="M309" s="16">
        <v>111760190000</v>
      </c>
      <c r="N309" s="16">
        <v>246247.01</v>
      </c>
      <c r="O309" s="17">
        <v>0.131398</v>
      </c>
    </row>
    <row r="310" spans="1:15">
      <c r="A310" t="s">
        <v>104</v>
      </c>
      <c r="B310" t="s">
        <v>105</v>
      </c>
      <c r="C310" t="s">
        <v>35</v>
      </c>
      <c r="D310" t="s">
        <v>89</v>
      </c>
      <c r="E310">
        <v>2022</v>
      </c>
      <c r="F310" s="15">
        <v>149641</v>
      </c>
      <c r="G310" s="16">
        <v>43047335000</v>
      </c>
      <c r="H310" s="15">
        <v>55715</v>
      </c>
      <c r="I310" s="16">
        <v>13201335000</v>
      </c>
      <c r="J310" s="15">
        <v>47350</v>
      </c>
      <c r="K310" s="16">
        <v>10723290000</v>
      </c>
      <c r="L310" s="15">
        <v>252706</v>
      </c>
      <c r="M310" s="16">
        <v>66971960000</v>
      </c>
      <c r="N310" s="16">
        <v>265019.27</v>
      </c>
      <c r="O310" s="17">
        <v>0.072406</v>
      </c>
    </row>
    <row r="311" spans="1:15">
      <c r="A311" t="s">
        <v>104</v>
      </c>
      <c r="B311" t="s">
        <v>105</v>
      </c>
      <c r="C311" t="s">
        <v>35</v>
      </c>
      <c r="D311" t="s">
        <v>89</v>
      </c>
      <c r="E311">
        <v>2023</v>
      </c>
      <c r="F311" s="15">
        <v>116819</v>
      </c>
      <c r="G311" s="16">
        <v>32491655000</v>
      </c>
      <c r="H311" s="15">
        <v>26803</v>
      </c>
      <c r="I311" s="16">
        <v>5727545000</v>
      </c>
      <c r="J311" s="15">
        <v>24474</v>
      </c>
      <c r="K311" s="16">
        <v>4441960000</v>
      </c>
      <c r="L311" s="15">
        <v>168096</v>
      </c>
      <c r="M311" s="16">
        <v>42661160000</v>
      </c>
      <c r="N311" s="16">
        <v>253790.45</v>
      </c>
      <c r="O311" s="17">
        <v>0.069564</v>
      </c>
    </row>
    <row r="312" spans="1:15">
      <c r="A312" t="s">
        <v>104</v>
      </c>
      <c r="B312" t="s">
        <v>105</v>
      </c>
      <c r="C312" t="s">
        <v>35</v>
      </c>
      <c r="D312" t="s">
        <v>89</v>
      </c>
      <c r="E312">
        <v>2024</v>
      </c>
      <c r="F312" s="15">
        <v>119931</v>
      </c>
      <c r="G312" s="16">
        <v>35452905000</v>
      </c>
      <c r="H312" s="15">
        <v>32027</v>
      </c>
      <c r="I312" s="16">
        <v>8098635000</v>
      </c>
      <c r="J312" s="15">
        <v>27586</v>
      </c>
      <c r="K312" s="16">
        <v>5327000000</v>
      </c>
      <c r="L312" s="15">
        <v>179544</v>
      </c>
      <c r="M312" s="16">
        <v>48878540000</v>
      </c>
      <c r="N312" s="16">
        <v>272237.11</v>
      </c>
      <c r="O312" s="17">
        <v>0.06196</v>
      </c>
    </row>
    <row r="313" spans="1:15">
      <c r="A313" t="s">
        <v>104</v>
      </c>
      <c r="B313" t="s">
        <v>105</v>
      </c>
      <c r="C313" t="s">
        <v>35</v>
      </c>
      <c r="D313" t="s">
        <v>89</v>
      </c>
      <c r="E313">
        <v>2025</v>
      </c>
      <c r="F313" s="15">
        <v>123644</v>
      </c>
      <c r="G313" s="16">
        <v>38143330000</v>
      </c>
      <c r="H313" s="15">
        <v>45350</v>
      </c>
      <c r="I313" s="16">
        <v>13215890000</v>
      </c>
      <c r="J313" s="15">
        <v>33912</v>
      </c>
      <c r="K313" s="16">
        <v>7029640000</v>
      </c>
      <c r="L313" s="15">
        <v>202906</v>
      </c>
      <c r="M313" s="16">
        <v>58388860000</v>
      </c>
      <c r="N313" s="16">
        <v>287763.1</v>
      </c>
      <c r="O313" s="17">
        <v>0.041619</v>
      </c>
    </row>
    <row r="314" spans="1:15">
      <c r="A314" t="s">
        <v>106</v>
      </c>
      <c r="B314" t="s">
        <v>107</v>
      </c>
      <c r="C314" t="s">
        <v>35</v>
      </c>
      <c r="D314" t="s">
        <v>36</v>
      </c>
      <c r="E314">
        <v>2018</v>
      </c>
      <c r="F314" s="15">
        <v>13852</v>
      </c>
      <c r="G314" s="16">
        <v>3713990000</v>
      </c>
      <c r="H314" s="15">
        <v>5906</v>
      </c>
      <c r="I314" s="16">
        <v>1405520000</v>
      </c>
      <c r="J314" s="15">
        <v>4400</v>
      </c>
      <c r="K314" s="16">
        <v>892660000</v>
      </c>
      <c r="L314" s="15">
        <v>24158</v>
      </c>
      <c r="M314" s="16">
        <v>6012170000</v>
      </c>
      <c r="N314" s="16">
        <v>248868.7</v>
      </c>
      <c r="O314" s="17">
        <v>0.056786</v>
      </c>
    </row>
    <row r="315" spans="1:15">
      <c r="A315" t="s">
        <v>106</v>
      </c>
      <c r="B315" t="s">
        <v>107</v>
      </c>
      <c r="C315" t="s">
        <v>35</v>
      </c>
      <c r="D315" t="s">
        <v>36</v>
      </c>
      <c r="E315">
        <v>2019</v>
      </c>
      <c r="F315" s="15">
        <v>14366</v>
      </c>
      <c r="G315" s="16">
        <v>4129290000</v>
      </c>
      <c r="H315" s="15">
        <v>9851</v>
      </c>
      <c r="I315" s="16">
        <v>2462365000</v>
      </c>
      <c r="J315" s="15">
        <v>5792</v>
      </c>
      <c r="K315" s="16">
        <v>1370340000</v>
      </c>
      <c r="L315" s="15">
        <v>30009</v>
      </c>
      <c r="M315" s="16">
        <v>7961995000</v>
      </c>
      <c r="N315" s="16">
        <v>265320.24</v>
      </c>
      <c r="O315" s="17">
        <v>0.063405</v>
      </c>
    </row>
    <row r="316" spans="1:15">
      <c r="A316" t="s">
        <v>106</v>
      </c>
      <c r="B316" t="s">
        <v>107</v>
      </c>
      <c r="C316" t="s">
        <v>35</v>
      </c>
      <c r="D316" t="s">
        <v>36</v>
      </c>
      <c r="E316">
        <v>2020</v>
      </c>
      <c r="F316" s="15">
        <v>15229</v>
      </c>
      <c r="G316" s="16">
        <v>4665455000</v>
      </c>
      <c r="H316" s="15">
        <v>24135</v>
      </c>
      <c r="I316" s="16">
        <v>6505175000</v>
      </c>
      <c r="J316" s="15">
        <v>8510</v>
      </c>
      <c r="K316" s="16">
        <v>2168280000</v>
      </c>
      <c r="L316" s="15">
        <v>47874</v>
      </c>
      <c r="M316" s="16">
        <v>13338910000</v>
      </c>
      <c r="N316" s="16">
        <v>278625.35</v>
      </c>
      <c r="O316" s="17">
        <v>0.136532</v>
      </c>
    </row>
    <row r="317" spans="1:15">
      <c r="A317" t="s">
        <v>106</v>
      </c>
      <c r="B317" t="s">
        <v>107</v>
      </c>
      <c r="C317" t="s">
        <v>35</v>
      </c>
      <c r="D317" t="s">
        <v>36</v>
      </c>
      <c r="E317">
        <v>2021</v>
      </c>
      <c r="F317" s="15">
        <v>16576</v>
      </c>
      <c r="G317" s="16">
        <v>5897320000</v>
      </c>
      <c r="H317" s="15">
        <v>21010</v>
      </c>
      <c r="I317" s="16">
        <v>5870900000</v>
      </c>
      <c r="J317" s="15">
        <v>12586</v>
      </c>
      <c r="K317" s="16">
        <v>3334180000</v>
      </c>
      <c r="L317" s="15">
        <v>50172</v>
      </c>
      <c r="M317" s="16">
        <v>15102400000</v>
      </c>
      <c r="N317" s="16">
        <v>301012.52</v>
      </c>
      <c r="O317" s="17">
        <v>0.157133</v>
      </c>
    </row>
    <row r="318" spans="1:15">
      <c r="A318" t="s">
        <v>106</v>
      </c>
      <c r="B318" t="s">
        <v>107</v>
      </c>
      <c r="C318" t="s">
        <v>35</v>
      </c>
      <c r="D318" t="s">
        <v>36</v>
      </c>
      <c r="E318">
        <v>2022</v>
      </c>
      <c r="F318" s="15">
        <v>13017</v>
      </c>
      <c r="G318" s="16">
        <v>5025325000</v>
      </c>
      <c r="H318" s="15">
        <v>5139</v>
      </c>
      <c r="I318" s="16">
        <v>1843395000</v>
      </c>
      <c r="J318" s="15">
        <v>6111</v>
      </c>
      <c r="K318" s="16">
        <v>1908855000</v>
      </c>
      <c r="L318" s="15">
        <v>24267</v>
      </c>
      <c r="M318" s="16">
        <v>8777575000</v>
      </c>
      <c r="N318" s="16">
        <v>361708.29</v>
      </c>
      <c r="O318" s="17">
        <v>0.054224</v>
      </c>
    </row>
    <row r="319" spans="1:15">
      <c r="A319" t="s">
        <v>106</v>
      </c>
      <c r="B319" t="s">
        <v>107</v>
      </c>
      <c r="C319" t="s">
        <v>35</v>
      </c>
      <c r="D319" t="s">
        <v>36</v>
      </c>
      <c r="E319">
        <v>2023</v>
      </c>
      <c r="F319" s="15">
        <v>9239</v>
      </c>
      <c r="G319" s="16">
        <v>3806845000</v>
      </c>
      <c r="H319" s="15">
        <v>2691</v>
      </c>
      <c r="I319" s="16">
        <v>762485000</v>
      </c>
      <c r="J319" s="15">
        <v>2474</v>
      </c>
      <c r="K319" s="16">
        <v>637070000</v>
      </c>
      <c r="L319" s="15">
        <v>14404</v>
      </c>
      <c r="M319" s="16">
        <v>5206400000</v>
      </c>
      <c r="N319" s="16">
        <v>361455.15</v>
      </c>
      <c r="O319" s="17">
        <v>0.136675</v>
      </c>
    </row>
    <row r="320" spans="1:15">
      <c r="A320" t="s">
        <v>106</v>
      </c>
      <c r="B320" t="s">
        <v>107</v>
      </c>
      <c r="C320" t="s">
        <v>35</v>
      </c>
      <c r="D320" t="s">
        <v>36</v>
      </c>
      <c r="E320">
        <v>2024</v>
      </c>
      <c r="F320" s="15">
        <v>10237</v>
      </c>
      <c r="G320" s="16">
        <v>4420915000</v>
      </c>
      <c r="H320" s="15">
        <v>3391</v>
      </c>
      <c r="I320" s="16">
        <v>1098505000</v>
      </c>
      <c r="J320" s="15">
        <v>2965</v>
      </c>
      <c r="K320" s="16">
        <v>821365000</v>
      </c>
      <c r="L320" s="15">
        <v>16593</v>
      </c>
      <c r="M320" s="16">
        <v>6340785000</v>
      </c>
      <c r="N320" s="16">
        <v>382136.14</v>
      </c>
      <c r="O320" s="17">
        <v>0.068333</v>
      </c>
    </row>
    <row r="321" spans="1:15">
      <c r="A321" t="s">
        <v>106</v>
      </c>
      <c r="B321" t="s">
        <v>107</v>
      </c>
      <c r="C321" t="s">
        <v>35</v>
      </c>
      <c r="D321" t="s">
        <v>36</v>
      </c>
      <c r="E321">
        <v>2025</v>
      </c>
      <c r="F321" s="15">
        <v>10600</v>
      </c>
      <c r="G321" s="16">
        <v>4896220000</v>
      </c>
      <c r="H321" s="15">
        <v>5293</v>
      </c>
      <c r="I321" s="16">
        <v>1857285000</v>
      </c>
      <c r="J321" s="15">
        <v>3735</v>
      </c>
      <c r="K321" s="16">
        <v>1233225000</v>
      </c>
      <c r="L321" s="15">
        <v>19628</v>
      </c>
      <c r="M321" s="16">
        <v>7986730000</v>
      </c>
      <c r="N321" s="16">
        <v>406904.93</v>
      </c>
      <c r="O321" s="17">
        <v>0.047195</v>
      </c>
    </row>
    <row r="322" spans="1:15">
      <c r="A322" t="s">
        <v>108</v>
      </c>
      <c r="B322" t="s">
        <v>109</v>
      </c>
      <c r="C322" t="s">
        <v>17</v>
      </c>
      <c r="D322" t="s">
        <v>39</v>
      </c>
      <c r="E322">
        <v>2018</v>
      </c>
      <c r="F322" s="15">
        <v>86469</v>
      </c>
      <c r="G322" s="16">
        <v>19861135000</v>
      </c>
      <c r="H322" s="15">
        <v>15103</v>
      </c>
      <c r="I322" s="16">
        <v>3202805000</v>
      </c>
      <c r="J322" s="15">
        <v>16262</v>
      </c>
      <c r="K322" s="16">
        <v>3502840000</v>
      </c>
      <c r="L322" s="15">
        <v>117834</v>
      </c>
      <c r="M322" s="16">
        <v>26566780000</v>
      </c>
      <c r="N322" s="16">
        <v>225459.38</v>
      </c>
      <c r="O322" s="17">
        <v>0.06536400000000001</v>
      </c>
    </row>
    <row r="323" spans="1:15">
      <c r="A323" t="s">
        <v>108</v>
      </c>
      <c r="B323" t="s">
        <v>109</v>
      </c>
      <c r="C323" t="s">
        <v>17</v>
      </c>
      <c r="D323" t="s">
        <v>39</v>
      </c>
      <c r="E323">
        <v>2019</v>
      </c>
      <c r="F323" s="15">
        <v>92095</v>
      </c>
      <c r="G323" s="16">
        <v>21926395000</v>
      </c>
      <c r="H323" s="15">
        <v>30402</v>
      </c>
      <c r="I323" s="16">
        <v>8030830000</v>
      </c>
      <c r="J323" s="15">
        <v>20127</v>
      </c>
      <c r="K323" s="16">
        <v>4498745000</v>
      </c>
      <c r="L323" s="15">
        <v>142624</v>
      </c>
      <c r="M323" s="16">
        <v>34455970000</v>
      </c>
      <c r="N323" s="16">
        <v>241586.06</v>
      </c>
      <c r="O323" s="17">
        <v>0.057519</v>
      </c>
    </row>
    <row r="324" spans="1:15">
      <c r="A324" t="s">
        <v>108</v>
      </c>
      <c r="B324" t="s">
        <v>109</v>
      </c>
      <c r="C324" t="s">
        <v>17</v>
      </c>
      <c r="D324" t="s">
        <v>39</v>
      </c>
      <c r="E324">
        <v>2020</v>
      </c>
      <c r="F324" s="15">
        <v>104047</v>
      </c>
      <c r="G324" s="16">
        <v>26911785000</v>
      </c>
      <c r="H324" s="15">
        <v>95566</v>
      </c>
      <c r="I324" s="16">
        <v>24179500000</v>
      </c>
      <c r="J324" s="15">
        <v>28063</v>
      </c>
      <c r="K324" s="16">
        <v>6781465000</v>
      </c>
      <c r="L324" s="15">
        <v>227676</v>
      </c>
      <c r="M324" s="16">
        <v>57872750000</v>
      </c>
      <c r="N324" s="16">
        <v>254189.07</v>
      </c>
      <c r="O324" s="17">
        <v>0.104525</v>
      </c>
    </row>
    <row r="325" spans="1:15">
      <c r="A325" t="s">
        <v>108</v>
      </c>
      <c r="B325" t="s">
        <v>109</v>
      </c>
      <c r="C325" t="s">
        <v>17</v>
      </c>
      <c r="D325" t="s">
        <v>39</v>
      </c>
      <c r="E325">
        <v>2021</v>
      </c>
      <c r="F325" s="15">
        <v>113752</v>
      </c>
      <c r="G325" s="16">
        <v>33535310000</v>
      </c>
      <c r="H325" s="15">
        <v>87138</v>
      </c>
      <c r="I325" s="16">
        <v>21819700000</v>
      </c>
      <c r="J325" s="15">
        <v>44083</v>
      </c>
      <c r="K325" s="16">
        <v>10653095000</v>
      </c>
      <c r="L325" s="15">
        <v>244973</v>
      </c>
      <c r="M325" s="16">
        <v>66008105000</v>
      </c>
      <c r="N325" s="16">
        <v>269450.53</v>
      </c>
      <c r="O325" s="17">
        <v>0.210106</v>
      </c>
    </row>
    <row r="326" spans="1:15">
      <c r="A326" t="s">
        <v>108</v>
      </c>
      <c r="B326" t="s">
        <v>109</v>
      </c>
      <c r="C326" t="s">
        <v>17</v>
      </c>
      <c r="D326" t="s">
        <v>39</v>
      </c>
      <c r="E326">
        <v>2022</v>
      </c>
      <c r="F326" s="15">
        <v>94405</v>
      </c>
      <c r="G326" s="16">
        <v>31589135000</v>
      </c>
      <c r="H326" s="15">
        <v>15845</v>
      </c>
      <c r="I326" s="16">
        <v>4960815000</v>
      </c>
      <c r="J326" s="15">
        <v>29013</v>
      </c>
      <c r="K326" s="16">
        <v>7106245000</v>
      </c>
      <c r="L326" s="15">
        <v>139263</v>
      </c>
      <c r="M326" s="16">
        <v>43656195000</v>
      </c>
      <c r="N326" s="16">
        <v>313480.21</v>
      </c>
      <c r="O326" s="17">
        <v>0.119781</v>
      </c>
    </row>
    <row r="327" spans="1:15">
      <c r="A327" t="s">
        <v>108</v>
      </c>
      <c r="B327" t="s">
        <v>109</v>
      </c>
      <c r="C327" t="s">
        <v>17</v>
      </c>
      <c r="D327" t="s">
        <v>39</v>
      </c>
      <c r="E327">
        <v>2023</v>
      </c>
      <c r="F327" s="15">
        <v>78825</v>
      </c>
      <c r="G327" s="16">
        <v>25317045000</v>
      </c>
      <c r="H327" s="15">
        <v>6337</v>
      </c>
      <c r="I327" s="16">
        <v>2135435000</v>
      </c>
      <c r="J327" s="15">
        <v>13168</v>
      </c>
      <c r="K327" s="16">
        <v>3033220000</v>
      </c>
      <c r="L327" s="15">
        <v>98330</v>
      </c>
      <c r="M327" s="16">
        <v>30485700000</v>
      </c>
      <c r="N327" s="16">
        <v>310034.58</v>
      </c>
      <c r="O327" s="17">
        <v>0.086849</v>
      </c>
    </row>
    <row r="328" spans="1:15">
      <c r="A328" t="s">
        <v>108</v>
      </c>
      <c r="B328" t="s">
        <v>109</v>
      </c>
      <c r="C328" t="s">
        <v>17</v>
      </c>
      <c r="D328" t="s">
        <v>39</v>
      </c>
      <c r="E328">
        <v>2024</v>
      </c>
      <c r="F328" s="15">
        <v>80122</v>
      </c>
      <c r="G328" s="16">
        <v>26587340000</v>
      </c>
      <c r="H328" s="15">
        <v>12363</v>
      </c>
      <c r="I328" s="16">
        <v>4707895000</v>
      </c>
      <c r="J328" s="15">
        <v>15743</v>
      </c>
      <c r="K328" s="16">
        <v>3847655000</v>
      </c>
      <c r="L328" s="15">
        <v>108228</v>
      </c>
      <c r="M328" s="16">
        <v>35142890000</v>
      </c>
      <c r="N328" s="16">
        <v>324711.63</v>
      </c>
      <c r="O328" s="17">
        <v>0.05299</v>
      </c>
    </row>
    <row r="329" spans="1:15">
      <c r="A329" t="s">
        <v>108</v>
      </c>
      <c r="B329" t="s">
        <v>109</v>
      </c>
      <c r="C329" t="s">
        <v>17</v>
      </c>
      <c r="D329" t="s">
        <v>39</v>
      </c>
      <c r="E329">
        <v>2025</v>
      </c>
      <c r="F329" s="15">
        <v>85452</v>
      </c>
      <c r="G329" s="16">
        <v>29532960000</v>
      </c>
      <c r="H329" s="15">
        <v>18326</v>
      </c>
      <c r="I329" s="16">
        <v>8079650000</v>
      </c>
      <c r="J329" s="15">
        <v>18989</v>
      </c>
      <c r="K329" s="16">
        <v>4887905000</v>
      </c>
      <c r="L329" s="15">
        <v>122767</v>
      </c>
      <c r="M329" s="16">
        <v>42500515000</v>
      </c>
      <c r="N329" s="16">
        <v>346188.43</v>
      </c>
      <c r="O329" s="17">
        <v>0.020272</v>
      </c>
    </row>
    <row r="330" spans="1:15">
      <c r="A330" t="s">
        <v>110</v>
      </c>
      <c r="B330" t="s">
        <v>111</v>
      </c>
      <c r="C330" t="s">
        <v>52</v>
      </c>
      <c r="D330" t="s">
        <v>58</v>
      </c>
      <c r="E330">
        <v>2018</v>
      </c>
      <c r="F330" s="15">
        <v>11924</v>
      </c>
      <c r="G330" s="16">
        <v>2400330000</v>
      </c>
      <c r="H330" s="15">
        <v>2539</v>
      </c>
      <c r="I330" s="16">
        <v>434635000</v>
      </c>
      <c r="J330" s="15">
        <v>2612</v>
      </c>
      <c r="K330" s="16">
        <v>435210000</v>
      </c>
      <c r="L330" s="15">
        <v>17075</v>
      </c>
      <c r="M330" s="16">
        <v>3270175000</v>
      </c>
      <c r="N330" s="16">
        <v>191518.3</v>
      </c>
      <c r="O330" s="17">
        <v>0.063862</v>
      </c>
    </row>
    <row r="331" spans="1:15">
      <c r="A331" t="s">
        <v>110</v>
      </c>
      <c r="B331" t="s">
        <v>111</v>
      </c>
      <c r="C331" t="s">
        <v>52</v>
      </c>
      <c r="D331" t="s">
        <v>58</v>
      </c>
      <c r="E331">
        <v>2019</v>
      </c>
      <c r="F331" s="15">
        <v>12130</v>
      </c>
      <c r="G331" s="16">
        <v>2580280000</v>
      </c>
      <c r="H331" s="15">
        <v>4906</v>
      </c>
      <c r="I331" s="16">
        <v>1121740000</v>
      </c>
      <c r="J331" s="15">
        <v>3774</v>
      </c>
      <c r="K331" s="16">
        <v>759760000</v>
      </c>
      <c r="L331" s="15">
        <v>20810</v>
      </c>
      <c r="M331" s="16">
        <v>4461780000</v>
      </c>
      <c r="N331" s="16">
        <v>214405.57</v>
      </c>
      <c r="O331" s="17">
        <v>0.038368</v>
      </c>
    </row>
    <row r="332" spans="1:15">
      <c r="A332" t="s">
        <v>110</v>
      </c>
      <c r="B332" t="s">
        <v>111</v>
      </c>
      <c r="C332" t="s">
        <v>52</v>
      </c>
      <c r="D332" t="s">
        <v>58</v>
      </c>
      <c r="E332">
        <v>2020</v>
      </c>
      <c r="F332" s="15">
        <v>13504</v>
      </c>
      <c r="G332" s="16">
        <v>3277460000</v>
      </c>
      <c r="H332" s="15">
        <v>17734</v>
      </c>
      <c r="I332" s="16">
        <v>4142950000</v>
      </c>
      <c r="J332" s="15">
        <v>7341</v>
      </c>
      <c r="K332" s="16">
        <v>1611765000</v>
      </c>
      <c r="L332" s="15">
        <v>38579</v>
      </c>
      <c r="M332" s="16">
        <v>9032175000</v>
      </c>
      <c r="N332" s="16">
        <v>234121.54</v>
      </c>
      <c r="O332" s="17">
        <v>0.098978</v>
      </c>
    </row>
    <row r="333" spans="1:15">
      <c r="A333" t="s">
        <v>110</v>
      </c>
      <c r="B333" t="s">
        <v>111</v>
      </c>
      <c r="C333" t="s">
        <v>52</v>
      </c>
      <c r="D333" t="s">
        <v>58</v>
      </c>
      <c r="E333">
        <v>2021</v>
      </c>
      <c r="F333" s="15">
        <v>14048</v>
      </c>
      <c r="G333" s="16">
        <v>4010600000</v>
      </c>
      <c r="H333" s="15">
        <v>10866</v>
      </c>
      <c r="I333" s="16">
        <v>2312430000</v>
      </c>
      <c r="J333" s="15">
        <v>6482</v>
      </c>
      <c r="K333" s="16">
        <v>1417080000</v>
      </c>
      <c r="L333" s="15">
        <v>31396</v>
      </c>
      <c r="M333" s="16">
        <v>7740110000</v>
      </c>
      <c r="N333" s="16">
        <v>246531.72</v>
      </c>
      <c r="O333" s="17">
        <v>0.179035</v>
      </c>
    </row>
    <row r="334" spans="1:15">
      <c r="A334" t="s">
        <v>110</v>
      </c>
      <c r="B334" t="s">
        <v>111</v>
      </c>
      <c r="C334" t="s">
        <v>52</v>
      </c>
      <c r="D334" t="s">
        <v>58</v>
      </c>
      <c r="E334">
        <v>2022</v>
      </c>
      <c r="F334" s="15">
        <v>12138</v>
      </c>
      <c r="G334" s="16">
        <v>3908260000</v>
      </c>
      <c r="H334" s="15">
        <v>2694</v>
      </c>
      <c r="I334" s="16">
        <v>784320000</v>
      </c>
      <c r="J334" s="15">
        <v>3159</v>
      </c>
      <c r="K334" s="16">
        <v>703225000</v>
      </c>
      <c r="L334" s="15">
        <v>17991</v>
      </c>
      <c r="M334" s="16">
        <v>5395805000</v>
      </c>
      <c r="N334" s="16">
        <v>299916.9</v>
      </c>
      <c r="O334" s="17">
        <v>0.09163499999999999</v>
      </c>
    </row>
    <row r="335" spans="1:15">
      <c r="A335" t="s">
        <v>110</v>
      </c>
      <c r="B335" t="s">
        <v>111</v>
      </c>
      <c r="C335" t="s">
        <v>52</v>
      </c>
      <c r="D335" t="s">
        <v>58</v>
      </c>
      <c r="E335">
        <v>2023</v>
      </c>
      <c r="F335" s="15">
        <v>9289</v>
      </c>
      <c r="G335" s="16">
        <v>2921345000</v>
      </c>
      <c r="H335" s="15">
        <v>1427</v>
      </c>
      <c r="I335" s="16">
        <v>437595000</v>
      </c>
      <c r="J335" s="15">
        <v>1686</v>
      </c>
      <c r="K335" s="16">
        <v>273160000</v>
      </c>
      <c r="L335" s="15">
        <v>12402</v>
      </c>
      <c r="M335" s="16">
        <v>3632100000</v>
      </c>
      <c r="N335" s="16">
        <v>292864.05</v>
      </c>
      <c r="O335" s="17">
        <v>0.064723</v>
      </c>
    </row>
    <row r="336" spans="1:15">
      <c r="A336" t="s">
        <v>110</v>
      </c>
      <c r="B336" t="s">
        <v>111</v>
      </c>
      <c r="C336" t="s">
        <v>52</v>
      </c>
      <c r="D336" t="s">
        <v>58</v>
      </c>
      <c r="E336">
        <v>2024</v>
      </c>
      <c r="F336" s="15">
        <v>9543</v>
      </c>
      <c r="G336" s="16">
        <v>2938795000</v>
      </c>
      <c r="H336" s="15">
        <v>1947</v>
      </c>
      <c r="I336" s="16">
        <v>542795000</v>
      </c>
      <c r="J336" s="15">
        <v>1807</v>
      </c>
      <c r="K336" s="16">
        <v>338235000</v>
      </c>
      <c r="L336" s="15">
        <v>13297</v>
      </c>
      <c r="M336" s="16">
        <v>3819825000</v>
      </c>
      <c r="N336" s="16">
        <v>287269.68</v>
      </c>
      <c r="O336" s="17">
        <v>0.03718</v>
      </c>
    </row>
    <row r="337" spans="1:15">
      <c r="A337" t="s">
        <v>110</v>
      </c>
      <c r="B337" t="s">
        <v>111</v>
      </c>
      <c r="C337" t="s">
        <v>52</v>
      </c>
      <c r="D337" t="s">
        <v>58</v>
      </c>
      <c r="E337">
        <v>2025</v>
      </c>
      <c r="F337" s="15">
        <v>9881</v>
      </c>
      <c r="G337" s="16">
        <v>3242775000</v>
      </c>
      <c r="H337" s="15">
        <v>2676</v>
      </c>
      <c r="I337" s="16">
        <v>834040000</v>
      </c>
      <c r="J337" s="15">
        <v>2211</v>
      </c>
      <c r="K337" s="16">
        <v>478435000</v>
      </c>
      <c r="L337" s="15">
        <v>14768</v>
      </c>
      <c r="M337" s="16">
        <v>4555250000</v>
      </c>
      <c r="N337" s="16">
        <v>308454.09</v>
      </c>
      <c r="O337" s="17">
        <v>0.021641</v>
      </c>
    </row>
    <row r="338" spans="1:15">
      <c r="A338" t="s">
        <v>112</v>
      </c>
      <c r="B338" t="s">
        <v>113</v>
      </c>
      <c r="C338" t="s">
        <v>17</v>
      </c>
      <c r="D338" t="s">
        <v>18</v>
      </c>
      <c r="E338">
        <v>2018</v>
      </c>
      <c r="F338" s="15">
        <v>102568</v>
      </c>
      <c r="G338" s="16">
        <v>23805840000</v>
      </c>
      <c r="H338" s="15">
        <v>22468</v>
      </c>
      <c r="I338" s="16">
        <v>5166050000</v>
      </c>
      <c r="J338" s="15">
        <v>26568</v>
      </c>
      <c r="K338" s="16">
        <v>4855890000</v>
      </c>
      <c r="L338" s="15">
        <v>151604</v>
      </c>
      <c r="M338" s="16">
        <v>33827780000</v>
      </c>
      <c r="N338" s="16">
        <v>223132.5</v>
      </c>
      <c r="O338" s="17">
        <v>0.068554</v>
      </c>
    </row>
    <row r="339" spans="1:15">
      <c r="A339" t="s">
        <v>112</v>
      </c>
      <c r="B339" t="s">
        <v>113</v>
      </c>
      <c r="C339" t="s">
        <v>17</v>
      </c>
      <c r="D339" t="s">
        <v>18</v>
      </c>
      <c r="E339">
        <v>2019</v>
      </c>
      <c r="F339" s="15">
        <v>110295</v>
      </c>
      <c r="G339" s="16">
        <v>27317165000</v>
      </c>
      <c r="H339" s="15">
        <v>40783</v>
      </c>
      <c r="I339" s="16">
        <v>10391845000</v>
      </c>
      <c r="J339" s="15">
        <v>31282</v>
      </c>
      <c r="K339" s="16">
        <v>6701360000</v>
      </c>
      <c r="L339" s="15">
        <v>182360</v>
      </c>
      <c r="M339" s="16">
        <v>44410370000</v>
      </c>
      <c r="N339" s="16">
        <v>243531.31</v>
      </c>
      <c r="O339" s="17">
        <v>0.067262</v>
      </c>
    </row>
    <row r="340" spans="1:15">
      <c r="A340" t="s">
        <v>112</v>
      </c>
      <c r="B340" t="s">
        <v>113</v>
      </c>
      <c r="C340" t="s">
        <v>17</v>
      </c>
      <c r="D340" t="s">
        <v>18</v>
      </c>
      <c r="E340">
        <v>2020</v>
      </c>
      <c r="F340" s="15">
        <v>121465</v>
      </c>
      <c r="G340" s="16">
        <v>32134615000</v>
      </c>
      <c r="H340" s="15">
        <v>118861</v>
      </c>
      <c r="I340" s="16">
        <v>30816705000</v>
      </c>
      <c r="J340" s="15">
        <v>42911</v>
      </c>
      <c r="K340" s="16">
        <v>9826405000</v>
      </c>
      <c r="L340" s="15">
        <v>283237</v>
      </c>
      <c r="M340" s="16">
        <v>72777725000</v>
      </c>
      <c r="N340" s="16">
        <v>256949.92</v>
      </c>
      <c r="O340" s="17">
        <v>0.123747</v>
      </c>
    </row>
    <row r="341" spans="1:15">
      <c r="A341" t="s">
        <v>112</v>
      </c>
      <c r="B341" t="s">
        <v>113</v>
      </c>
      <c r="C341" t="s">
        <v>17</v>
      </c>
      <c r="D341" t="s">
        <v>18</v>
      </c>
      <c r="E341">
        <v>2021</v>
      </c>
      <c r="F341" s="15">
        <v>127924</v>
      </c>
      <c r="G341" s="16">
        <v>39609030000</v>
      </c>
      <c r="H341" s="15">
        <v>104611</v>
      </c>
      <c r="I341" s="16">
        <v>26547785000</v>
      </c>
      <c r="J341" s="15">
        <v>64133</v>
      </c>
      <c r="K341" s="16">
        <v>15580395000</v>
      </c>
      <c r="L341" s="15">
        <v>296668</v>
      </c>
      <c r="M341" s="16">
        <v>81737210000</v>
      </c>
      <c r="N341" s="16">
        <v>275517.45</v>
      </c>
      <c r="O341" s="17">
        <v>0.23223</v>
      </c>
    </row>
    <row r="342" spans="1:15">
      <c r="A342" t="s">
        <v>112</v>
      </c>
      <c r="B342" t="s">
        <v>113</v>
      </c>
      <c r="C342" t="s">
        <v>17</v>
      </c>
      <c r="D342" t="s">
        <v>18</v>
      </c>
      <c r="E342">
        <v>2022</v>
      </c>
      <c r="F342" s="15">
        <v>108358</v>
      </c>
      <c r="G342" s="16">
        <v>39729910000</v>
      </c>
      <c r="H342" s="15">
        <v>25880</v>
      </c>
      <c r="I342" s="16">
        <v>8772150000</v>
      </c>
      <c r="J342" s="15">
        <v>43840</v>
      </c>
      <c r="K342" s="16">
        <v>11079760000</v>
      </c>
      <c r="L342" s="15">
        <v>178078</v>
      </c>
      <c r="M342" s="16">
        <v>59581820000</v>
      </c>
      <c r="N342" s="16">
        <v>334582.71</v>
      </c>
      <c r="O342" s="17">
        <v>0.102756</v>
      </c>
    </row>
    <row r="343" spans="1:15">
      <c r="A343" t="s">
        <v>112</v>
      </c>
      <c r="B343" t="s">
        <v>113</v>
      </c>
      <c r="C343" t="s">
        <v>17</v>
      </c>
      <c r="D343" t="s">
        <v>18</v>
      </c>
      <c r="E343">
        <v>2023</v>
      </c>
      <c r="F343" s="15">
        <v>87986</v>
      </c>
      <c r="G343" s="16">
        <v>30358930000</v>
      </c>
      <c r="H343" s="15">
        <v>13539</v>
      </c>
      <c r="I343" s="16">
        <v>4353895000</v>
      </c>
      <c r="J343" s="15">
        <v>21099</v>
      </c>
      <c r="K343" s="16">
        <v>4579225000</v>
      </c>
      <c r="L343" s="15">
        <v>122624</v>
      </c>
      <c r="M343" s="16">
        <v>39292050000</v>
      </c>
      <c r="N343" s="16">
        <v>320427.08</v>
      </c>
      <c r="O343" s="17">
        <v>0.062874</v>
      </c>
    </row>
    <row r="344" spans="1:15">
      <c r="A344" t="s">
        <v>112</v>
      </c>
      <c r="B344" t="s">
        <v>113</v>
      </c>
      <c r="C344" t="s">
        <v>17</v>
      </c>
      <c r="D344" t="s">
        <v>18</v>
      </c>
      <c r="E344">
        <v>2024</v>
      </c>
      <c r="F344" s="15">
        <v>89189</v>
      </c>
      <c r="G344" s="16">
        <v>32341305000</v>
      </c>
      <c r="H344" s="15">
        <v>19428</v>
      </c>
      <c r="I344" s="16">
        <v>6753250000</v>
      </c>
      <c r="J344" s="15">
        <v>23835</v>
      </c>
      <c r="K344" s="16">
        <v>5492655000</v>
      </c>
      <c r="L344" s="15">
        <v>132452</v>
      </c>
      <c r="M344" s="16">
        <v>44587210000</v>
      </c>
      <c r="N344" s="16">
        <v>336629.19</v>
      </c>
      <c r="O344" s="17">
        <v>0.045074</v>
      </c>
    </row>
    <row r="345" spans="1:15">
      <c r="A345" t="s">
        <v>112</v>
      </c>
      <c r="B345" t="s">
        <v>113</v>
      </c>
      <c r="C345" t="s">
        <v>17</v>
      </c>
      <c r="D345" t="s">
        <v>18</v>
      </c>
      <c r="E345">
        <v>2025</v>
      </c>
      <c r="F345" s="15">
        <v>91425</v>
      </c>
      <c r="G345" s="16">
        <v>34306415000</v>
      </c>
      <c r="H345" s="15">
        <v>27443</v>
      </c>
      <c r="I345" s="16">
        <v>10769325000</v>
      </c>
      <c r="J345" s="15">
        <v>28011</v>
      </c>
      <c r="K345" s="16">
        <v>6837945000</v>
      </c>
      <c r="L345" s="15">
        <v>146879</v>
      </c>
      <c r="M345" s="16">
        <v>51913685000</v>
      </c>
      <c r="N345" s="16">
        <v>353445.25</v>
      </c>
      <c r="O345" s="17">
        <v>0.004512</v>
      </c>
    </row>
    <row r="346" spans="1:15">
      <c r="A346" t="s">
        <v>114</v>
      </c>
      <c r="B346" t="s">
        <v>115</v>
      </c>
      <c r="C346" t="s">
        <v>17</v>
      </c>
      <c r="D346" t="s">
        <v>28</v>
      </c>
      <c r="E346">
        <v>2018</v>
      </c>
      <c r="F346" s="15">
        <v>379920</v>
      </c>
      <c r="G346" s="16">
        <v>100554880000</v>
      </c>
      <c r="H346" s="15">
        <v>56758</v>
      </c>
      <c r="I346" s="16">
        <v>17615760000</v>
      </c>
      <c r="J346" s="15">
        <v>70692</v>
      </c>
      <c r="K346" s="16">
        <v>14448310000</v>
      </c>
      <c r="L346" s="15">
        <v>507370</v>
      </c>
      <c r="M346" s="16">
        <v>132618950000</v>
      </c>
      <c r="N346" s="16">
        <v>261385.08</v>
      </c>
      <c r="O346" s="17">
        <v>0.051168</v>
      </c>
    </row>
    <row r="347" spans="1:15">
      <c r="A347" t="s">
        <v>114</v>
      </c>
      <c r="B347" t="s">
        <v>115</v>
      </c>
      <c r="C347" t="s">
        <v>17</v>
      </c>
      <c r="D347" t="s">
        <v>28</v>
      </c>
      <c r="E347">
        <v>2019</v>
      </c>
      <c r="F347" s="15">
        <v>407089</v>
      </c>
      <c r="G347" s="16">
        <v>110132925000</v>
      </c>
      <c r="H347" s="15">
        <v>114144</v>
      </c>
      <c r="I347" s="16">
        <v>36695640000</v>
      </c>
      <c r="J347" s="15">
        <v>74982</v>
      </c>
      <c r="K347" s="16">
        <v>16197480000</v>
      </c>
      <c r="L347" s="15">
        <v>596215</v>
      </c>
      <c r="M347" s="16">
        <v>163026045000</v>
      </c>
      <c r="N347" s="16">
        <v>273434.99</v>
      </c>
      <c r="O347" s="17">
        <v>0.047726</v>
      </c>
    </row>
    <row r="348" spans="1:15">
      <c r="A348" t="s">
        <v>114</v>
      </c>
      <c r="B348" t="s">
        <v>115</v>
      </c>
      <c r="C348" t="s">
        <v>17</v>
      </c>
      <c r="D348" t="s">
        <v>28</v>
      </c>
      <c r="E348">
        <v>2020</v>
      </c>
      <c r="F348" s="15">
        <v>459372</v>
      </c>
      <c r="G348" s="16">
        <v>128678100000</v>
      </c>
      <c r="H348" s="15">
        <v>416238</v>
      </c>
      <c r="I348" s="16">
        <v>116133690000</v>
      </c>
      <c r="J348" s="15">
        <v>104498</v>
      </c>
      <c r="K348" s="16">
        <v>26655360000</v>
      </c>
      <c r="L348" s="15">
        <v>980108</v>
      </c>
      <c r="M348" s="16">
        <v>271467150000</v>
      </c>
      <c r="N348" s="16">
        <v>276976.77</v>
      </c>
      <c r="O348" s="17">
        <v>0.090668</v>
      </c>
    </row>
    <row r="349" spans="1:15">
      <c r="A349" t="s">
        <v>114</v>
      </c>
      <c r="B349" t="s">
        <v>115</v>
      </c>
      <c r="C349" t="s">
        <v>17</v>
      </c>
      <c r="D349" t="s">
        <v>28</v>
      </c>
      <c r="E349">
        <v>2021</v>
      </c>
      <c r="F349" s="15">
        <v>487185</v>
      </c>
      <c r="G349" s="16">
        <v>159904855000</v>
      </c>
      <c r="H349" s="15">
        <v>373660</v>
      </c>
      <c r="I349" s="16">
        <v>102142490000</v>
      </c>
      <c r="J349" s="15">
        <v>151100</v>
      </c>
      <c r="K349" s="16">
        <v>39949880000</v>
      </c>
      <c r="L349" s="15">
        <v>1011945</v>
      </c>
      <c r="M349" s="16">
        <v>301997225000</v>
      </c>
      <c r="N349" s="16">
        <v>298432.45</v>
      </c>
      <c r="O349" s="17">
        <v>0.193354</v>
      </c>
    </row>
    <row r="350" spans="1:15">
      <c r="A350" t="s">
        <v>114</v>
      </c>
      <c r="B350" t="s">
        <v>115</v>
      </c>
      <c r="C350" t="s">
        <v>17</v>
      </c>
      <c r="D350" t="s">
        <v>28</v>
      </c>
      <c r="E350">
        <v>2022</v>
      </c>
      <c r="F350" s="15">
        <v>424933</v>
      </c>
      <c r="G350" s="16">
        <v>163260565000</v>
      </c>
      <c r="H350" s="15">
        <v>68986</v>
      </c>
      <c r="I350" s="16">
        <v>28377920000</v>
      </c>
      <c r="J350" s="15">
        <v>104160</v>
      </c>
      <c r="K350" s="16">
        <v>28160860000</v>
      </c>
      <c r="L350" s="15">
        <v>598079</v>
      </c>
      <c r="M350" s="16">
        <v>219799345000</v>
      </c>
      <c r="N350" s="16">
        <v>367508.88</v>
      </c>
      <c r="O350" s="17">
        <v>0.090118</v>
      </c>
    </row>
    <row r="351" spans="1:15">
      <c r="A351" t="s">
        <v>114</v>
      </c>
      <c r="B351" t="s">
        <v>115</v>
      </c>
      <c r="C351" t="s">
        <v>17</v>
      </c>
      <c r="D351" t="s">
        <v>28</v>
      </c>
      <c r="E351">
        <v>2023</v>
      </c>
      <c r="F351" s="15">
        <v>355681</v>
      </c>
      <c r="G351" s="16">
        <v>126425365000</v>
      </c>
      <c r="H351" s="15">
        <v>22032</v>
      </c>
      <c r="I351" s="16">
        <v>14474280000</v>
      </c>
      <c r="J351" s="15">
        <v>43940</v>
      </c>
      <c r="K351" s="16">
        <v>10111400000</v>
      </c>
      <c r="L351" s="15">
        <v>421653</v>
      </c>
      <c r="M351" s="16">
        <v>151011045000</v>
      </c>
      <c r="N351" s="16">
        <v>358140.57</v>
      </c>
      <c r="O351" s="17">
        <v>0.024452</v>
      </c>
    </row>
    <row r="352" spans="1:15">
      <c r="A352" t="s">
        <v>114</v>
      </c>
      <c r="B352" t="s">
        <v>115</v>
      </c>
      <c r="C352" t="s">
        <v>17</v>
      </c>
      <c r="D352" t="s">
        <v>28</v>
      </c>
      <c r="E352">
        <v>2024</v>
      </c>
      <c r="F352" s="15">
        <v>360296</v>
      </c>
      <c r="G352" s="16">
        <v>129215850000</v>
      </c>
      <c r="H352" s="15">
        <v>40917</v>
      </c>
      <c r="I352" s="16">
        <v>21189015000</v>
      </c>
      <c r="J352" s="15">
        <v>49132</v>
      </c>
      <c r="K352" s="16">
        <v>15293070000</v>
      </c>
      <c r="L352" s="15">
        <v>450345</v>
      </c>
      <c r="M352" s="16">
        <v>165697935000</v>
      </c>
      <c r="N352" s="16">
        <v>367935.55</v>
      </c>
      <c r="O352" s="17">
        <v>0.022897</v>
      </c>
    </row>
    <row r="353" spans="1:15">
      <c r="A353" t="s">
        <v>114</v>
      </c>
      <c r="B353" t="s">
        <v>115</v>
      </c>
      <c r="C353" t="s">
        <v>17</v>
      </c>
      <c r="D353" t="s">
        <v>28</v>
      </c>
      <c r="E353">
        <v>2025</v>
      </c>
      <c r="F353" s="15">
        <v>356285</v>
      </c>
      <c r="G353" s="16">
        <v>129555105000</v>
      </c>
      <c r="H353" s="15">
        <v>65793</v>
      </c>
      <c r="I353" s="16">
        <v>33363325000</v>
      </c>
      <c r="J353" s="15">
        <v>58657</v>
      </c>
      <c r="K353" s="16">
        <v>14301865000</v>
      </c>
      <c r="L353" s="15">
        <v>480735</v>
      </c>
      <c r="M353" s="16">
        <v>177220295000</v>
      </c>
      <c r="N353" s="16">
        <v>368644.46</v>
      </c>
      <c r="O353" s="17">
        <v>-0.005178</v>
      </c>
    </row>
    <row r="354" spans="1:15">
      <c r="A354" t="s">
        <v>116</v>
      </c>
      <c r="B354" t="s">
        <v>117</v>
      </c>
      <c r="C354" t="s">
        <v>21</v>
      </c>
      <c r="D354" t="s">
        <v>25</v>
      </c>
      <c r="E354">
        <v>2018</v>
      </c>
      <c r="F354" s="15">
        <v>63284</v>
      </c>
      <c r="G354" s="16">
        <v>18182920000</v>
      </c>
      <c r="H354" s="15">
        <v>17016</v>
      </c>
      <c r="I354" s="16">
        <v>4050840000</v>
      </c>
      <c r="J354" s="15">
        <v>19378</v>
      </c>
      <c r="K354" s="16">
        <v>4573840000</v>
      </c>
      <c r="L354" s="15">
        <v>99678</v>
      </c>
      <c r="M354" s="16">
        <v>26807600000</v>
      </c>
      <c r="N354" s="16">
        <v>268941.99</v>
      </c>
      <c r="O354" s="17">
        <v>0.094203</v>
      </c>
    </row>
    <row r="355" spans="1:15">
      <c r="A355" t="s">
        <v>116</v>
      </c>
      <c r="B355" t="s">
        <v>117</v>
      </c>
      <c r="C355" t="s">
        <v>21</v>
      </c>
      <c r="D355" t="s">
        <v>25</v>
      </c>
      <c r="E355">
        <v>2019</v>
      </c>
      <c r="F355" s="15">
        <v>64465</v>
      </c>
      <c r="G355" s="16">
        <v>19767965000</v>
      </c>
      <c r="H355" s="15">
        <v>44677</v>
      </c>
      <c r="I355" s="16">
        <v>13232955000</v>
      </c>
      <c r="J355" s="15">
        <v>32396</v>
      </c>
      <c r="K355" s="16">
        <v>8858800000</v>
      </c>
      <c r="L355" s="15">
        <v>141538</v>
      </c>
      <c r="M355" s="16">
        <v>41859720000</v>
      </c>
      <c r="N355" s="16">
        <v>295748.99</v>
      </c>
      <c r="O355" s="17">
        <v>0.079274</v>
      </c>
    </row>
    <row r="356" spans="1:15">
      <c r="A356" t="s">
        <v>116</v>
      </c>
      <c r="B356" t="s">
        <v>117</v>
      </c>
      <c r="C356" t="s">
        <v>21</v>
      </c>
      <c r="D356" t="s">
        <v>25</v>
      </c>
      <c r="E356">
        <v>2020</v>
      </c>
      <c r="F356" s="15">
        <v>72933</v>
      </c>
      <c r="G356" s="16">
        <v>24346495000</v>
      </c>
      <c r="H356" s="15">
        <v>125788</v>
      </c>
      <c r="I356" s="16">
        <v>36418450000</v>
      </c>
      <c r="J356" s="15">
        <v>52712</v>
      </c>
      <c r="K356" s="16">
        <v>14948810000</v>
      </c>
      <c r="L356" s="15">
        <v>251433</v>
      </c>
      <c r="M356" s="16">
        <v>75713755000</v>
      </c>
      <c r="N356" s="16">
        <v>301128.95</v>
      </c>
      <c r="O356" s="17">
        <v>0.15497</v>
      </c>
    </row>
    <row r="357" spans="1:15">
      <c r="A357" t="s">
        <v>116</v>
      </c>
      <c r="B357" t="s">
        <v>117</v>
      </c>
      <c r="C357" t="s">
        <v>21</v>
      </c>
      <c r="D357" t="s">
        <v>25</v>
      </c>
      <c r="E357">
        <v>2021</v>
      </c>
      <c r="F357" s="15">
        <v>69006</v>
      </c>
      <c r="G357" s="16">
        <v>28204110000</v>
      </c>
      <c r="H357" s="15">
        <v>87124</v>
      </c>
      <c r="I357" s="16">
        <v>25954410000</v>
      </c>
      <c r="J357" s="15">
        <v>63095</v>
      </c>
      <c r="K357" s="16">
        <v>20402185000</v>
      </c>
      <c r="L357" s="15">
        <v>219225</v>
      </c>
      <c r="M357" s="16">
        <v>74560705000</v>
      </c>
      <c r="N357" s="16">
        <v>340110.41</v>
      </c>
      <c r="O357" s="17">
        <v>0.269298</v>
      </c>
    </row>
    <row r="358" spans="1:15">
      <c r="A358" t="s">
        <v>116</v>
      </c>
      <c r="B358" t="s">
        <v>117</v>
      </c>
      <c r="C358" t="s">
        <v>21</v>
      </c>
      <c r="D358" t="s">
        <v>25</v>
      </c>
      <c r="E358">
        <v>2022</v>
      </c>
      <c r="F358" s="15">
        <v>52682</v>
      </c>
      <c r="G358" s="16">
        <v>24889480000</v>
      </c>
      <c r="H358" s="15">
        <v>20365</v>
      </c>
      <c r="I358" s="16">
        <v>6703775000</v>
      </c>
      <c r="J358" s="15">
        <v>25131</v>
      </c>
      <c r="K358" s="16">
        <v>8491235000</v>
      </c>
      <c r="L358" s="15">
        <v>98178</v>
      </c>
      <c r="M358" s="16">
        <v>40084490000</v>
      </c>
      <c r="N358" s="16">
        <v>408283.83</v>
      </c>
      <c r="O358" s="17">
        <v>0.031624</v>
      </c>
    </row>
    <row r="359" spans="1:15">
      <c r="A359" t="s">
        <v>116</v>
      </c>
      <c r="B359" t="s">
        <v>117</v>
      </c>
      <c r="C359" t="s">
        <v>21</v>
      </c>
      <c r="D359" t="s">
        <v>25</v>
      </c>
      <c r="E359">
        <v>2023</v>
      </c>
      <c r="F359" s="15">
        <v>39865</v>
      </c>
      <c r="G359" s="16">
        <v>17980505000</v>
      </c>
      <c r="H359" s="15">
        <v>9291</v>
      </c>
      <c r="I359" s="16">
        <v>3145275000</v>
      </c>
      <c r="J359" s="15">
        <v>7830</v>
      </c>
      <c r="K359" s="16">
        <v>2493310000</v>
      </c>
      <c r="L359" s="15">
        <v>56986</v>
      </c>
      <c r="M359" s="16">
        <v>23619090000</v>
      </c>
      <c r="N359" s="16">
        <v>414471.8</v>
      </c>
      <c r="O359" s="17">
        <v>0.020512</v>
      </c>
    </row>
    <row r="360" spans="1:15">
      <c r="A360" t="s">
        <v>116</v>
      </c>
      <c r="B360" t="s">
        <v>117</v>
      </c>
      <c r="C360" t="s">
        <v>21</v>
      </c>
      <c r="D360" t="s">
        <v>25</v>
      </c>
      <c r="E360">
        <v>2024</v>
      </c>
      <c r="F360" s="15">
        <v>42765</v>
      </c>
      <c r="G360" s="16">
        <v>19589935000</v>
      </c>
      <c r="H360" s="15">
        <v>13273</v>
      </c>
      <c r="I360" s="16">
        <v>4612015000</v>
      </c>
      <c r="J360" s="15">
        <v>9211</v>
      </c>
      <c r="K360" s="16">
        <v>2774745000</v>
      </c>
      <c r="L360" s="15">
        <v>65249</v>
      </c>
      <c r="M360" s="16">
        <v>26976695000</v>
      </c>
      <c r="N360" s="16">
        <v>413442.27</v>
      </c>
      <c r="O360" s="17">
        <v>0.046472</v>
      </c>
    </row>
    <row r="361" spans="1:15">
      <c r="A361" t="s">
        <v>116</v>
      </c>
      <c r="B361" t="s">
        <v>117</v>
      </c>
      <c r="C361" t="s">
        <v>21</v>
      </c>
      <c r="D361" t="s">
        <v>25</v>
      </c>
      <c r="E361">
        <v>2025</v>
      </c>
      <c r="F361" s="15">
        <v>44237</v>
      </c>
      <c r="G361" s="16">
        <v>21459785000</v>
      </c>
      <c r="H361" s="15">
        <v>19138</v>
      </c>
      <c r="I361" s="16">
        <v>8189030000</v>
      </c>
      <c r="J361" s="15">
        <v>11745</v>
      </c>
      <c r="K361" s="16">
        <v>3812385000</v>
      </c>
      <c r="L361" s="15">
        <v>75120</v>
      </c>
      <c r="M361" s="16">
        <v>33461200000</v>
      </c>
      <c r="N361" s="16">
        <v>445436.63</v>
      </c>
      <c r="O361" s="17">
        <v>0.007795</v>
      </c>
    </row>
    <row r="362" spans="1:15">
      <c r="A362" t="s">
        <v>118</v>
      </c>
      <c r="B362" t="s">
        <v>119</v>
      </c>
      <c r="C362" t="s">
        <v>35</v>
      </c>
      <c r="D362" t="s">
        <v>36</v>
      </c>
      <c r="E362">
        <v>2018</v>
      </c>
      <c r="F362" s="15">
        <v>7204</v>
      </c>
      <c r="G362" s="16">
        <v>1599820000</v>
      </c>
      <c r="H362" s="15">
        <v>2353</v>
      </c>
      <c r="I362" s="16">
        <v>419265000</v>
      </c>
      <c r="J362" s="15">
        <v>2174</v>
      </c>
      <c r="K362" s="16">
        <v>363590000</v>
      </c>
      <c r="L362" s="15">
        <v>11731</v>
      </c>
      <c r="M362" s="16">
        <v>2382675000</v>
      </c>
      <c r="N362" s="16">
        <v>203109.28</v>
      </c>
      <c r="O362" s="17">
        <v>0.027406</v>
      </c>
    </row>
    <row r="363" spans="1:15">
      <c r="A363" t="s">
        <v>118</v>
      </c>
      <c r="B363" t="s">
        <v>119</v>
      </c>
      <c r="C363" t="s">
        <v>35</v>
      </c>
      <c r="D363" t="s">
        <v>36</v>
      </c>
      <c r="E363">
        <v>2019</v>
      </c>
      <c r="F363" s="15">
        <v>7643</v>
      </c>
      <c r="G363" s="16">
        <v>1759435000</v>
      </c>
      <c r="H363" s="15">
        <v>3561</v>
      </c>
      <c r="I363" s="16">
        <v>773865000</v>
      </c>
      <c r="J363" s="15">
        <v>2400</v>
      </c>
      <c r="K363" s="16">
        <v>481140000</v>
      </c>
      <c r="L363" s="15">
        <v>13604</v>
      </c>
      <c r="M363" s="16">
        <v>3014440000</v>
      </c>
      <c r="N363" s="16">
        <v>221584.83</v>
      </c>
      <c r="O363" s="17">
        <v>0.043018</v>
      </c>
    </row>
    <row r="364" spans="1:15">
      <c r="A364" t="s">
        <v>118</v>
      </c>
      <c r="B364" t="s">
        <v>119</v>
      </c>
      <c r="C364" t="s">
        <v>35</v>
      </c>
      <c r="D364" t="s">
        <v>36</v>
      </c>
      <c r="E364">
        <v>2020</v>
      </c>
      <c r="F364" s="15">
        <v>8738</v>
      </c>
      <c r="G364" s="16">
        <v>2341210000</v>
      </c>
      <c r="H364" s="15">
        <v>9861</v>
      </c>
      <c r="I364" s="16">
        <v>2342035000</v>
      </c>
      <c r="J364" s="15">
        <v>4371</v>
      </c>
      <c r="K364" s="16">
        <v>988055000</v>
      </c>
      <c r="L364" s="15">
        <v>22970</v>
      </c>
      <c r="M364" s="16">
        <v>5671300000</v>
      </c>
      <c r="N364" s="16">
        <v>246900.3</v>
      </c>
      <c r="O364" s="17">
        <v>0.124187</v>
      </c>
    </row>
    <row r="365" spans="1:15">
      <c r="A365" t="s">
        <v>118</v>
      </c>
      <c r="B365" t="s">
        <v>119</v>
      </c>
      <c r="C365" t="s">
        <v>35</v>
      </c>
      <c r="D365" t="s">
        <v>36</v>
      </c>
      <c r="E365">
        <v>2021</v>
      </c>
      <c r="F365" s="15">
        <v>9145</v>
      </c>
      <c r="G365" s="16">
        <v>2677045000</v>
      </c>
      <c r="H365" s="15">
        <v>9085</v>
      </c>
      <c r="I365" s="16">
        <v>2044655000</v>
      </c>
      <c r="J365" s="15">
        <v>4984</v>
      </c>
      <c r="K365" s="16">
        <v>1207830000</v>
      </c>
      <c r="L365" s="15">
        <v>23214</v>
      </c>
      <c r="M365" s="16">
        <v>5929530000</v>
      </c>
      <c r="N365" s="16">
        <v>255429.05</v>
      </c>
      <c r="O365" s="17">
        <v>0.182958</v>
      </c>
    </row>
    <row r="366" spans="1:15">
      <c r="A366" t="s">
        <v>118</v>
      </c>
      <c r="B366" t="s">
        <v>119</v>
      </c>
      <c r="C366" t="s">
        <v>35</v>
      </c>
      <c r="D366" t="s">
        <v>36</v>
      </c>
      <c r="E366">
        <v>2022</v>
      </c>
      <c r="F366" s="15">
        <v>7322</v>
      </c>
      <c r="G366" s="16">
        <v>2497190000</v>
      </c>
      <c r="H366" s="15">
        <v>2658</v>
      </c>
      <c r="I366" s="16">
        <v>577580000</v>
      </c>
      <c r="J366" s="15">
        <v>2801</v>
      </c>
      <c r="K366" s="16">
        <v>668795000</v>
      </c>
      <c r="L366" s="15">
        <v>12781</v>
      </c>
      <c r="M366" s="16">
        <v>3743565000</v>
      </c>
      <c r="N366" s="16">
        <v>292900.79</v>
      </c>
      <c r="O366" s="17">
        <v>0.095565</v>
      </c>
    </row>
    <row r="367" spans="1:15">
      <c r="A367" t="s">
        <v>118</v>
      </c>
      <c r="B367" t="s">
        <v>119</v>
      </c>
      <c r="C367" t="s">
        <v>35</v>
      </c>
      <c r="D367" t="s">
        <v>36</v>
      </c>
      <c r="E367">
        <v>2023</v>
      </c>
      <c r="F367" s="15">
        <v>5486</v>
      </c>
      <c r="G367" s="16">
        <v>1825900000</v>
      </c>
      <c r="H367" s="15">
        <v>1327</v>
      </c>
      <c r="I367" s="16">
        <v>266655000</v>
      </c>
      <c r="J367" s="15">
        <v>975</v>
      </c>
      <c r="K367" s="16">
        <v>208925000</v>
      </c>
      <c r="L367" s="15">
        <v>7788</v>
      </c>
      <c r="M367" s="16">
        <v>2301480000</v>
      </c>
      <c r="N367" s="16">
        <v>295516.18</v>
      </c>
      <c r="O367" s="17">
        <v>0.107713</v>
      </c>
    </row>
    <row r="368" spans="1:15">
      <c r="A368" t="s">
        <v>118</v>
      </c>
      <c r="B368" t="s">
        <v>119</v>
      </c>
      <c r="C368" t="s">
        <v>35</v>
      </c>
      <c r="D368" t="s">
        <v>36</v>
      </c>
      <c r="E368">
        <v>2024</v>
      </c>
      <c r="F368" s="15">
        <v>5861</v>
      </c>
      <c r="G368" s="16">
        <v>2127525000</v>
      </c>
      <c r="H368" s="15">
        <v>1560</v>
      </c>
      <c r="I368" s="16">
        <v>367430000</v>
      </c>
      <c r="J368" s="15">
        <v>1103</v>
      </c>
      <c r="K368" s="16">
        <v>250845000</v>
      </c>
      <c r="L368" s="15">
        <v>8524</v>
      </c>
      <c r="M368" s="16">
        <v>2745800000</v>
      </c>
      <c r="N368" s="16">
        <v>322125.76</v>
      </c>
      <c r="O368" s="17">
        <v>0.069192</v>
      </c>
    </row>
    <row r="369" spans="1:15">
      <c r="A369" t="s">
        <v>118</v>
      </c>
      <c r="B369" t="s">
        <v>119</v>
      </c>
      <c r="C369" t="s">
        <v>35</v>
      </c>
      <c r="D369" t="s">
        <v>36</v>
      </c>
      <c r="E369">
        <v>2025</v>
      </c>
      <c r="F369" s="15">
        <v>6445</v>
      </c>
      <c r="G369" s="16">
        <v>2351655000</v>
      </c>
      <c r="H369" s="15">
        <v>2174</v>
      </c>
      <c r="I369" s="16">
        <v>582750000</v>
      </c>
      <c r="J369" s="15">
        <v>1463</v>
      </c>
      <c r="K369" s="16">
        <v>347855000</v>
      </c>
      <c r="L369" s="15">
        <v>10082</v>
      </c>
      <c r="M369" s="16">
        <v>3282260000</v>
      </c>
      <c r="N369" s="16">
        <v>325556.44</v>
      </c>
      <c r="O369" s="17">
        <v>0.039251</v>
      </c>
    </row>
    <row r="370" spans="1:15">
      <c r="A370" t="s">
        <v>120</v>
      </c>
      <c r="B370" t="s">
        <v>121</v>
      </c>
      <c r="C370" t="s">
        <v>17</v>
      </c>
      <c r="D370" t="s">
        <v>39</v>
      </c>
      <c r="E370">
        <v>2018</v>
      </c>
      <c r="F370" s="15">
        <v>126055</v>
      </c>
      <c r="G370" s="16">
        <v>40083965000</v>
      </c>
      <c r="H370" s="15">
        <v>28560</v>
      </c>
      <c r="I370" s="16">
        <v>8888610000</v>
      </c>
      <c r="J370" s="15">
        <v>29044</v>
      </c>
      <c r="K370" s="16">
        <v>7196350000</v>
      </c>
      <c r="L370" s="15">
        <v>183659</v>
      </c>
      <c r="M370" s="16">
        <v>56168925000</v>
      </c>
      <c r="N370" s="16">
        <v>305832.68</v>
      </c>
      <c r="O370" s="17">
        <v>0.044427</v>
      </c>
    </row>
    <row r="371" spans="1:15">
      <c r="A371" t="s">
        <v>120</v>
      </c>
      <c r="B371" t="s">
        <v>121</v>
      </c>
      <c r="C371" t="s">
        <v>17</v>
      </c>
      <c r="D371" t="s">
        <v>39</v>
      </c>
      <c r="E371">
        <v>2019</v>
      </c>
      <c r="F371" s="15">
        <v>134404</v>
      </c>
      <c r="G371" s="16">
        <v>44657410000</v>
      </c>
      <c r="H371" s="15">
        <v>68456</v>
      </c>
      <c r="I371" s="16">
        <v>25062210000</v>
      </c>
      <c r="J371" s="15">
        <v>37247</v>
      </c>
      <c r="K371" s="16">
        <v>10439395000</v>
      </c>
      <c r="L371" s="15">
        <v>240107</v>
      </c>
      <c r="M371" s="16">
        <v>80159015000</v>
      </c>
      <c r="N371" s="16">
        <v>333847.06</v>
      </c>
      <c r="O371" s="17">
        <v>0.053181</v>
      </c>
    </row>
    <row r="372" spans="1:15">
      <c r="A372" t="s">
        <v>120</v>
      </c>
      <c r="B372" t="s">
        <v>121</v>
      </c>
      <c r="C372" t="s">
        <v>17</v>
      </c>
      <c r="D372" t="s">
        <v>39</v>
      </c>
      <c r="E372">
        <v>2020</v>
      </c>
      <c r="F372" s="15">
        <v>148659</v>
      </c>
      <c r="G372" s="16">
        <v>50735745000</v>
      </c>
      <c r="H372" s="15">
        <v>244471</v>
      </c>
      <c r="I372" s="16">
        <v>85286345000</v>
      </c>
      <c r="J372" s="15">
        <v>56034</v>
      </c>
      <c r="K372" s="16">
        <v>17556540000</v>
      </c>
      <c r="L372" s="15">
        <v>449164</v>
      </c>
      <c r="M372" s="16">
        <v>153578630000</v>
      </c>
      <c r="N372" s="16">
        <v>341921.06</v>
      </c>
      <c r="O372" s="17">
        <v>0.105291</v>
      </c>
    </row>
    <row r="373" spans="1:15">
      <c r="A373" t="s">
        <v>120</v>
      </c>
      <c r="B373" t="s">
        <v>121</v>
      </c>
      <c r="C373" t="s">
        <v>17</v>
      </c>
      <c r="D373" t="s">
        <v>39</v>
      </c>
      <c r="E373">
        <v>2021</v>
      </c>
      <c r="F373" s="15">
        <v>167028</v>
      </c>
      <c r="G373" s="16">
        <v>63140440000</v>
      </c>
      <c r="H373" s="15">
        <v>198915</v>
      </c>
      <c r="I373" s="16">
        <v>67285315000</v>
      </c>
      <c r="J373" s="15">
        <v>81112</v>
      </c>
      <c r="K373" s="16">
        <v>24627350000</v>
      </c>
      <c r="L373" s="15">
        <v>447055</v>
      </c>
      <c r="M373" s="16">
        <v>155053105000</v>
      </c>
      <c r="N373" s="16">
        <v>346832.28</v>
      </c>
      <c r="O373" s="17">
        <v>0.13443</v>
      </c>
    </row>
    <row r="374" spans="1:15">
      <c r="A374" t="s">
        <v>120</v>
      </c>
      <c r="B374" t="s">
        <v>121</v>
      </c>
      <c r="C374" t="s">
        <v>17</v>
      </c>
      <c r="D374" t="s">
        <v>39</v>
      </c>
      <c r="E374">
        <v>2022</v>
      </c>
      <c r="F374" s="15">
        <v>130317</v>
      </c>
      <c r="G374" s="16">
        <v>53120055000</v>
      </c>
      <c r="H374" s="15">
        <v>27413</v>
      </c>
      <c r="I374" s="16">
        <v>9282855000</v>
      </c>
      <c r="J374" s="15">
        <v>41261</v>
      </c>
      <c r="K374" s="16">
        <v>12328635000</v>
      </c>
      <c r="L374" s="15">
        <v>198991</v>
      </c>
      <c r="M374" s="16">
        <v>74731545000</v>
      </c>
      <c r="N374" s="16">
        <v>375552.39</v>
      </c>
      <c r="O374" s="17">
        <v>0.082709</v>
      </c>
    </row>
    <row r="375" spans="1:15">
      <c r="A375" t="s">
        <v>120</v>
      </c>
      <c r="B375" t="s">
        <v>121</v>
      </c>
      <c r="C375" t="s">
        <v>17</v>
      </c>
      <c r="D375" t="s">
        <v>39</v>
      </c>
      <c r="E375">
        <v>2023</v>
      </c>
      <c r="F375" s="15">
        <v>97993</v>
      </c>
      <c r="G375" s="16">
        <v>39434725000</v>
      </c>
      <c r="H375" s="15">
        <v>10567</v>
      </c>
      <c r="I375" s="16">
        <v>4433945000</v>
      </c>
      <c r="J375" s="15">
        <v>17941</v>
      </c>
      <c r="K375" s="16">
        <v>4295875000</v>
      </c>
      <c r="L375" s="15">
        <v>126501</v>
      </c>
      <c r="M375" s="16">
        <v>48164545000</v>
      </c>
      <c r="N375" s="16">
        <v>380744.38</v>
      </c>
      <c r="O375" s="17">
        <v>0.071558</v>
      </c>
    </row>
    <row r="376" spans="1:15">
      <c r="A376" t="s">
        <v>120</v>
      </c>
      <c r="B376" t="s">
        <v>121</v>
      </c>
      <c r="C376" t="s">
        <v>17</v>
      </c>
      <c r="D376" t="s">
        <v>39</v>
      </c>
      <c r="E376">
        <v>2024</v>
      </c>
      <c r="F376" s="15">
        <v>102212</v>
      </c>
      <c r="G376" s="16">
        <v>43110090000</v>
      </c>
      <c r="H376" s="15">
        <v>20878</v>
      </c>
      <c r="I376" s="16">
        <v>10085400000</v>
      </c>
      <c r="J376" s="15">
        <v>22530</v>
      </c>
      <c r="K376" s="16">
        <v>6199530000</v>
      </c>
      <c r="L376" s="15">
        <v>145620</v>
      </c>
      <c r="M376" s="16">
        <v>59395020000</v>
      </c>
      <c r="N376" s="16">
        <v>407876.8</v>
      </c>
      <c r="O376" s="17">
        <v>0.058691</v>
      </c>
    </row>
    <row r="377" spans="1:15">
      <c r="A377" t="s">
        <v>120</v>
      </c>
      <c r="B377" t="s">
        <v>121</v>
      </c>
      <c r="C377" t="s">
        <v>17</v>
      </c>
      <c r="D377" t="s">
        <v>39</v>
      </c>
      <c r="E377">
        <v>2025</v>
      </c>
      <c r="F377" s="15">
        <v>103337</v>
      </c>
      <c r="G377" s="16">
        <v>46683085000</v>
      </c>
      <c r="H377" s="15">
        <v>31796</v>
      </c>
      <c r="I377" s="16">
        <v>17665370000</v>
      </c>
      <c r="J377" s="15">
        <v>28965</v>
      </c>
      <c r="K377" s="16">
        <v>7475065000</v>
      </c>
      <c r="L377" s="15">
        <v>164098</v>
      </c>
      <c r="M377" s="16">
        <v>71823520000</v>
      </c>
      <c r="N377" s="16">
        <v>437686.75</v>
      </c>
      <c r="O377" s="17">
        <v>0.037856</v>
      </c>
    </row>
    <row r="378" spans="1:15">
      <c r="A378" t="s">
        <v>122</v>
      </c>
      <c r="B378" t="s">
        <v>123</v>
      </c>
      <c r="C378" t="s">
        <v>21</v>
      </c>
      <c r="D378" t="s">
        <v>22</v>
      </c>
      <c r="E378">
        <v>2018</v>
      </c>
      <c r="F378" s="15">
        <v>125080</v>
      </c>
      <c r="G378" s="16">
        <v>46937720000</v>
      </c>
      <c r="H378" s="15">
        <v>32331</v>
      </c>
      <c r="I378" s="16">
        <v>10583725000</v>
      </c>
      <c r="J378" s="15">
        <v>46326</v>
      </c>
      <c r="K378" s="16">
        <v>14020100000</v>
      </c>
      <c r="L378" s="15">
        <v>203737</v>
      </c>
      <c r="M378" s="16">
        <v>71541545000</v>
      </c>
      <c r="N378" s="16">
        <v>351146.55</v>
      </c>
      <c r="O378" s="17">
        <v>0.07689500000000001</v>
      </c>
    </row>
    <row r="379" spans="1:15">
      <c r="A379" t="s">
        <v>122</v>
      </c>
      <c r="B379" t="s">
        <v>123</v>
      </c>
      <c r="C379" t="s">
        <v>21</v>
      </c>
      <c r="D379" t="s">
        <v>22</v>
      </c>
      <c r="E379">
        <v>2019</v>
      </c>
      <c r="F379" s="15">
        <v>127209</v>
      </c>
      <c r="G379" s="16">
        <v>51286095000</v>
      </c>
      <c r="H379" s="15">
        <v>81188</v>
      </c>
      <c r="I379" s="16">
        <v>32281500000</v>
      </c>
      <c r="J379" s="15">
        <v>61312</v>
      </c>
      <c r="K379" s="16">
        <v>19827320000</v>
      </c>
      <c r="L379" s="15">
        <v>269709</v>
      </c>
      <c r="M379" s="16">
        <v>103394915000</v>
      </c>
      <c r="N379" s="16">
        <v>383357.3</v>
      </c>
      <c r="O379" s="17">
        <v>0.07800799999999999</v>
      </c>
    </row>
    <row r="380" spans="1:15">
      <c r="A380" t="s">
        <v>122</v>
      </c>
      <c r="B380" t="s">
        <v>123</v>
      </c>
      <c r="C380" t="s">
        <v>21</v>
      </c>
      <c r="D380" t="s">
        <v>22</v>
      </c>
      <c r="E380">
        <v>2020</v>
      </c>
      <c r="F380" s="15">
        <v>135043</v>
      </c>
      <c r="G380" s="16">
        <v>57116065000</v>
      </c>
      <c r="H380" s="15">
        <v>244216</v>
      </c>
      <c r="I380" s="16">
        <v>89130320000</v>
      </c>
      <c r="J380" s="15">
        <v>96223</v>
      </c>
      <c r="K380" s="16">
        <v>31857335000</v>
      </c>
      <c r="L380" s="15">
        <v>475482</v>
      </c>
      <c r="M380" s="16">
        <v>178103720000</v>
      </c>
      <c r="N380" s="16">
        <v>374575.1</v>
      </c>
      <c r="O380" s="17">
        <v>0.140243</v>
      </c>
    </row>
    <row r="381" spans="1:15">
      <c r="A381" t="s">
        <v>122</v>
      </c>
      <c r="B381" t="s">
        <v>123</v>
      </c>
      <c r="C381" t="s">
        <v>21</v>
      </c>
      <c r="D381" t="s">
        <v>22</v>
      </c>
      <c r="E381">
        <v>2021</v>
      </c>
      <c r="F381" s="15">
        <v>148056</v>
      </c>
      <c r="G381" s="16">
        <v>74461470000</v>
      </c>
      <c r="H381" s="15">
        <v>183512</v>
      </c>
      <c r="I381" s="16">
        <v>68027380000</v>
      </c>
      <c r="J381" s="15">
        <v>118371</v>
      </c>
      <c r="K381" s="16">
        <v>42480925000</v>
      </c>
      <c r="L381" s="15">
        <v>449939</v>
      </c>
      <c r="M381" s="16">
        <v>184969775000</v>
      </c>
      <c r="N381" s="16">
        <v>411099.67</v>
      </c>
      <c r="O381" s="17">
        <v>0.192995</v>
      </c>
    </row>
    <row r="382" spans="1:15">
      <c r="A382" t="s">
        <v>122</v>
      </c>
      <c r="B382" t="s">
        <v>123</v>
      </c>
      <c r="C382" t="s">
        <v>21</v>
      </c>
      <c r="D382" t="s">
        <v>22</v>
      </c>
      <c r="E382">
        <v>2022</v>
      </c>
      <c r="F382" s="15">
        <v>109572</v>
      </c>
      <c r="G382" s="16">
        <v>61999740000</v>
      </c>
      <c r="H382" s="15">
        <v>27045</v>
      </c>
      <c r="I382" s="16">
        <v>12474615000</v>
      </c>
      <c r="J382" s="15">
        <v>45704</v>
      </c>
      <c r="K382" s="16">
        <v>17874350000</v>
      </c>
      <c r="L382" s="15">
        <v>182321</v>
      </c>
      <c r="M382" s="16">
        <v>92348705000</v>
      </c>
      <c r="N382" s="16">
        <v>506517.1</v>
      </c>
      <c r="O382" s="17">
        <v>0.030872</v>
      </c>
    </row>
    <row r="383" spans="1:15">
      <c r="A383" t="s">
        <v>122</v>
      </c>
      <c r="B383" t="s">
        <v>123</v>
      </c>
      <c r="C383" t="s">
        <v>21</v>
      </c>
      <c r="D383" t="s">
        <v>22</v>
      </c>
      <c r="E383">
        <v>2023</v>
      </c>
      <c r="F383" s="15">
        <v>78797</v>
      </c>
      <c r="G383" s="16">
        <v>41470195000</v>
      </c>
      <c r="H383" s="15">
        <v>9509</v>
      </c>
      <c r="I383" s="16">
        <v>5250845000</v>
      </c>
      <c r="J383" s="15">
        <v>13583</v>
      </c>
      <c r="K383" s="16">
        <v>4826695000</v>
      </c>
      <c r="L383" s="15">
        <v>101889</v>
      </c>
      <c r="M383" s="16">
        <v>51547735000</v>
      </c>
      <c r="N383" s="16">
        <v>505920.51</v>
      </c>
      <c r="O383" s="17">
        <v>0.03426</v>
      </c>
    </row>
    <row r="384" spans="1:15">
      <c r="A384" t="s">
        <v>122</v>
      </c>
      <c r="B384" t="s">
        <v>123</v>
      </c>
      <c r="C384" t="s">
        <v>21</v>
      </c>
      <c r="D384" t="s">
        <v>22</v>
      </c>
      <c r="E384">
        <v>2024</v>
      </c>
      <c r="F384" s="15">
        <v>83646</v>
      </c>
      <c r="G384" s="16">
        <v>45825260000</v>
      </c>
      <c r="H384" s="15">
        <v>18628</v>
      </c>
      <c r="I384" s="16">
        <v>10419640000</v>
      </c>
      <c r="J384" s="15">
        <v>17402</v>
      </c>
      <c r="K384" s="16">
        <v>6053790000</v>
      </c>
      <c r="L384" s="15">
        <v>119676</v>
      </c>
      <c r="M384" s="16">
        <v>62298690000</v>
      </c>
      <c r="N384" s="16">
        <v>520561.27</v>
      </c>
      <c r="O384" s="17">
        <v>0.030393</v>
      </c>
    </row>
    <row r="385" spans="1:15">
      <c r="A385" t="s">
        <v>122</v>
      </c>
      <c r="B385" t="s">
        <v>123</v>
      </c>
      <c r="C385" t="s">
        <v>21</v>
      </c>
      <c r="D385" t="s">
        <v>22</v>
      </c>
      <c r="E385">
        <v>2025</v>
      </c>
      <c r="F385" s="15">
        <v>85968</v>
      </c>
      <c r="G385" s="16">
        <v>48461640000</v>
      </c>
      <c r="H385" s="15">
        <v>30736</v>
      </c>
      <c r="I385" s="16">
        <v>18372490000</v>
      </c>
      <c r="J385" s="15">
        <v>23431</v>
      </c>
      <c r="K385" s="16">
        <v>7906275000</v>
      </c>
      <c r="L385" s="15">
        <v>140135</v>
      </c>
      <c r="M385" s="16">
        <v>74740405000</v>
      </c>
      <c r="N385" s="16">
        <v>533345.74</v>
      </c>
      <c r="O385" s="17">
        <v>0.022083</v>
      </c>
    </row>
    <row r="386" spans="1:15">
      <c r="A386" t="s">
        <v>124</v>
      </c>
      <c r="B386" t="s">
        <v>125</v>
      </c>
      <c r="C386" t="s">
        <v>17</v>
      </c>
      <c r="D386" t="s">
        <v>39</v>
      </c>
      <c r="E386">
        <v>2018</v>
      </c>
      <c r="F386" s="15">
        <v>17063</v>
      </c>
      <c r="G386" s="16">
        <v>2804085000</v>
      </c>
      <c r="H386" s="15">
        <v>5074</v>
      </c>
      <c r="I386" s="16">
        <v>760940000</v>
      </c>
      <c r="J386" s="15">
        <v>4241</v>
      </c>
      <c r="K386" s="16">
        <v>587665000</v>
      </c>
      <c r="L386" s="15">
        <v>26378</v>
      </c>
      <c r="M386" s="16">
        <v>4152690000</v>
      </c>
      <c r="N386" s="16">
        <v>157430.06</v>
      </c>
      <c r="O386" s="17">
        <v>0.001071</v>
      </c>
    </row>
    <row r="387" spans="1:15">
      <c r="A387" t="s">
        <v>124</v>
      </c>
      <c r="B387" t="s">
        <v>125</v>
      </c>
      <c r="C387" t="s">
        <v>17</v>
      </c>
      <c r="D387" t="s">
        <v>39</v>
      </c>
      <c r="E387">
        <v>2019</v>
      </c>
      <c r="F387" s="15">
        <v>18138</v>
      </c>
      <c r="G387" s="16">
        <v>3074230000</v>
      </c>
      <c r="H387" s="15">
        <v>6494</v>
      </c>
      <c r="I387" s="16">
        <v>1189540000</v>
      </c>
      <c r="J387" s="15">
        <v>4461</v>
      </c>
      <c r="K387" s="16">
        <v>678525000</v>
      </c>
      <c r="L387" s="15">
        <v>29093</v>
      </c>
      <c r="M387" s="16">
        <v>4942295000</v>
      </c>
      <c r="N387" s="16">
        <v>169879.18</v>
      </c>
      <c r="O387" s="17">
        <v>0.073867</v>
      </c>
    </row>
    <row r="388" spans="1:15">
      <c r="A388" t="s">
        <v>124</v>
      </c>
      <c r="B388" t="s">
        <v>125</v>
      </c>
      <c r="C388" t="s">
        <v>17</v>
      </c>
      <c r="D388" t="s">
        <v>39</v>
      </c>
      <c r="E388">
        <v>2020</v>
      </c>
      <c r="F388" s="15">
        <v>19242</v>
      </c>
      <c r="G388" s="16">
        <v>3471110000</v>
      </c>
      <c r="H388" s="15">
        <v>16079</v>
      </c>
      <c r="I388" s="16">
        <v>3353655000</v>
      </c>
      <c r="J388" s="15">
        <v>5496</v>
      </c>
      <c r="K388" s="16">
        <v>930420000</v>
      </c>
      <c r="L388" s="15">
        <v>40817</v>
      </c>
      <c r="M388" s="16">
        <v>7755185000</v>
      </c>
      <c r="N388" s="16">
        <v>189998.9</v>
      </c>
      <c r="O388" s="17">
        <v>0.057556</v>
      </c>
    </row>
    <row r="389" spans="1:15">
      <c r="A389" t="s">
        <v>124</v>
      </c>
      <c r="B389" t="s">
        <v>125</v>
      </c>
      <c r="C389" t="s">
        <v>17</v>
      </c>
      <c r="D389" t="s">
        <v>39</v>
      </c>
      <c r="E389">
        <v>2021</v>
      </c>
      <c r="F389" s="15">
        <v>22262</v>
      </c>
      <c r="G389" s="16">
        <v>4455370000</v>
      </c>
      <c r="H389" s="15">
        <v>16392</v>
      </c>
      <c r="I389" s="16">
        <v>3096190000</v>
      </c>
      <c r="J389" s="15">
        <v>7659</v>
      </c>
      <c r="K389" s="16">
        <v>1375035000</v>
      </c>
      <c r="L389" s="15">
        <v>46313</v>
      </c>
      <c r="M389" s="16">
        <v>8926595000</v>
      </c>
      <c r="N389" s="16">
        <v>192744.91</v>
      </c>
      <c r="O389" s="17">
        <v>0.123191</v>
      </c>
    </row>
    <row r="390" spans="1:15">
      <c r="A390" t="s">
        <v>124</v>
      </c>
      <c r="B390" t="s">
        <v>125</v>
      </c>
      <c r="C390" t="s">
        <v>17</v>
      </c>
      <c r="D390" t="s">
        <v>39</v>
      </c>
      <c r="E390">
        <v>2022</v>
      </c>
      <c r="F390" s="15">
        <v>19367</v>
      </c>
      <c r="G390" s="16">
        <v>4140325000</v>
      </c>
      <c r="H390" s="15">
        <v>4811</v>
      </c>
      <c r="I390" s="16">
        <v>1012255000</v>
      </c>
      <c r="J390" s="15">
        <v>5128</v>
      </c>
      <c r="K390" s="16">
        <v>875930000</v>
      </c>
      <c r="L390" s="15">
        <v>29306</v>
      </c>
      <c r="M390" s="16">
        <v>6028510000</v>
      </c>
      <c r="N390" s="16">
        <v>205709.07</v>
      </c>
      <c r="O390" s="17">
        <v>0.05829</v>
      </c>
    </row>
    <row r="391" spans="1:15">
      <c r="A391" t="s">
        <v>124</v>
      </c>
      <c r="B391" t="s">
        <v>125</v>
      </c>
      <c r="C391" t="s">
        <v>17</v>
      </c>
      <c r="D391" t="s">
        <v>39</v>
      </c>
      <c r="E391">
        <v>2023</v>
      </c>
      <c r="F391" s="15">
        <v>16272</v>
      </c>
      <c r="G391" s="16">
        <v>3405970000</v>
      </c>
      <c r="H391" s="15">
        <v>2287</v>
      </c>
      <c r="I391" s="16">
        <v>345115000</v>
      </c>
      <c r="J391" s="15">
        <v>2835</v>
      </c>
      <c r="K391" s="16">
        <v>443875000</v>
      </c>
      <c r="L391" s="15">
        <v>21394</v>
      </c>
      <c r="M391" s="16">
        <v>4194960000</v>
      </c>
      <c r="N391" s="16">
        <v>196081.14</v>
      </c>
      <c r="O391" s="17">
        <v>0.122875</v>
      </c>
    </row>
    <row r="392" spans="1:15">
      <c r="A392" t="s">
        <v>124</v>
      </c>
      <c r="B392" t="s">
        <v>125</v>
      </c>
      <c r="C392" t="s">
        <v>17</v>
      </c>
      <c r="D392" t="s">
        <v>39</v>
      </c>
      <c r="E392">
        <v>2024</v>
      </c>
      <c r="F392" s="15">
        <v>16671</v>
      </c>
      <c r="G392" s="16">
        <v>3797365000</v>
      </c>
      <c r="H392" s="15">
        <v>2784</v>
      </c>
      <c r="I392" s="16">
        <v>586980000</v>
      </c>
      <c r="J392" s="15">
        <v>3325</v>
      </c>
      <c r="K392" s="16">
        <v>518265000</v>
      </c>
      <c r="L392" s="15">
        <v>22780</v>
      </c>
      <c r="M392" s="16">
        <v>4902610000</v>
      </c>
      <c r="N392" s="16">
        <v>215215.54</v>
      </c>
      <c r="O392" s="17">
        <v>0.033653</v>
      </c>
    </row>
    <row r="393" spans="1:15">
      <c r="A393" t="s">
        <v>124</v>
      </c>
      <c r="B393" t="s">
        <v>125</v>
      </c>
      <c r="C393" t="s">
        <v>17</v>
      </c>
      <c r="D393" t="s">
        <v>39</v>
      </c>
      <c r="E393">
        <v>2025</v>
      </c>
      <c r="F393" s="15">
        <v>17150</v>
      </c>
      <c r="G393" s="16">
        <v>4111820000</v>
      </c>
      <c r="H393" s="15">
        <v>3738</v>
      </c>
      <c r="I393" s="16">
        <v>901390000</v>
      </c>
      <c r="J393" s="15">
        <v>4042</v>
      </c>
      <c r="K393" s="16">
        <v>689220000</v>
      </c>
      <c r="L393" s="15">
        <v>24930</v>
      </c>
      <c r="M393" s="16">
        <v>5702430000</v>
      </c>
      <c r="N393" s="16">
        <v>228737.67</v>
      </c>
      <c r="O393" s="17">
        <v>0.004469</v>
      </c>
    </row>
    <row r="394" spans="1:15">
      <c r="A394" t="s">
        <v>126</v>
      </c>
      <c r="B394" t="s">
        <v>127</v>
      </c>
      <c r="C394" t="s">
        <v>52</v>
      </c>
      <c r="D394" t="s">
        <v>53</v>
      </c>
      <c r="E394">
        <v>2018</v>
      </c>
      <c r="F394" s="15">
        <v>81610</v>
      </c>
      <c r="G394" s="16">
        <v>16702810000</v>
      </c>
      <c r="H394" s="15">
        <v>29135</v>
      </c>
      <c r="I394" s="16">
        <v>5139135000</v>
      </c>
      <c r="J394" s="15">
        <v>22455</v>
      </c>
      <c r="K394" s="16">
        <v>3503495000</v>
      </c>
      <c r="L394" s="15">
        <v>133200</v>
      </c>
      <c r="M394" s="16">
        <v>25345440000</v>
      </c>
      <c r="N394" s="16">
        <v>190281.08</v>
      </c>
      <c r="O394" s="17">
        <v>0.069702</v>
      </c>
    </row>
    <row r="395" spans="1:15">
      <c r="A395" t="s">
        <v>126</v>
      </c>
      <c r="B395" t="s">
        <v>127</v>
      </c>
      <c r="C395" t="s">
        <v>52</v>
      </c>
      <c r="D395" t="s">
        <v>53</v>
      </c>
      <c r="E395">
        <v>2019</v>
      </c>
      <c r="F395" s="15">
        <v>82816</v>
      </c>
      <c r="G395" s="16">
        <v>17648230000</v>
      </c>
      <c r="H395" s="15">
        <v>54131</v>
      </c>
      <c r="I395" s="16">
        <v>11674785000</v>
      </c>
      <c r="J395" s="15">
        <v>31946</v>
      </c>
      <c r="K395" s="16">
        <v>5599080000</v>
      </c>
      <c r="L395" s="15">
        <v>168893</v>
      </c>
      <c r="M395" s="16">
        <v>34922095000</v>
      </c>
      <c r="N395" s="16">
        <v>206770.53</v>
      </c>
      <c r="O395" s="17">
        <v>0.064653</v>
      </c>
    </row>
    <row r="396" spans="1:15">
      <c r="A396" t="s">
        <v>126</v>
      </c>
      <c r="B396" t="s">
        <v>127</v>
      </c>
      <c r="C396" t="s">
        <v>52</v>
      </c>
      <c r="D396" t="s">
        <v>53</v>
      </c>
      <c r="E396">
        <v>2020</v>
      </c>
      <c r="F396" s="15">
        <v>89845</v>
      </c>
      <c r="G396" s="16">
        <v>20935215000</v>
      </c>
      <c r="H396" s="15">
        <v>147476</v>
      </c>
      <c r="I396" s="16">
        <v>31604360000</v>
      </c>
      <c r="J396" s="15">
        <v>54937</v>
      </c>
      <c r="K396" s="16">
        <v>10722005000</v>
      </c>
      <c r="L396" s="15">
        <v>292258</v>
      </c>
      <c r="M396" s="16">
        <v>63261580000</v>
      </c>
      <c r="N396" s="16">
        <v>216457.99</v>
      </c>
      <c r="O396" s="17">
        <v>0.105036</v>
      </c>
    </row>
    <row r="397" spans="1:15">
      <c r="A397" t="s">
        <v>126</v>
      </c>
      <c r="B397" t="s">
        <v>127</v>
      </c>
      <c r="C397" t="s">
        <v>52</v>
      </c>
      <c r="D397" t="s">
        <v>53</v>
      </c>
      <c r="E397">
        <v>2021</v>
      </c>
      <c r="F397" s="15">
        <v>93582</v>
      </c>
      <c r="G397" s="16">
        <v>24132200000</v>
      </c>
      <c r="H397" s="15">
        <v>119920</v>
      </c>
      <c r="I397" s="16">
        <v>24517670000</v>
      </c>
      <c r="J397" s="15">
        <v>61601</v>
      </c>
      <c r="K397" s="16">
        <v>12358175000</v>
      </c>
      <c r="L397" s="15">
        <v>275103</v>
      </c>
      <c r="M397" s="16">
        <v>61008045000</v>
      </c>
      <c r="N397" s="16">
        <v>221764.38</v>
      </c>
      <c r="O397" s="17">
        <v>0.133756</v>
      </c>
    </row>
    <row r="398" spans="1:15">
      <c r="A398" t="s">
        <v>126</v>
      </c>
      <c r="B398" t="s">
        <v>127</v>
      </c>
      <c r="C398" t="s">
        <v>52</v>
      </c>
      <c r="D398" t="s">
        <v>53</v>
      </c>
      <c r="E398">
        <v>2022</v>
      </c>
      <c r="F398" s="15">
        <v>77315</v>
      </c>
      <c r="G398" s="16">
        <v>22498745000</v>
      </c>
      <c r="H398" s="15">
        <v>28923</v>
      </c>
      <c r="I398" s="16">
        <v>6458895000</v>
      </c>
      <c r="J398" s="15">
        <v>28368</v>
      </c>
      <c r="K398" s="16">
        <v>5594620000</v>
      </c>
      <c r="L398" s="15">
        <v>134606</v>
      </c>
      <c r="M398" s="16">
        <v>34552260000</v>
      </c>
      <c r="N398" s="16">
        <v>256691.83</v>
      </c>
      <c r="O398" s="17">
        <v>0.095627</v>
      </c>
    </row>
    <row r="399" spans="1:15">
      <c r="A399" t="s">
        <v>126</v>
      </c>
      <c r="B399" t="s">
        <v>127</v>
      </c>
      <c r="C399" t="s">
        <v>52</v>
      </c>
      <c r="D399" t="s">
        <v>53</v>
      </c>
      <c r="E399">
        <v>2023</v>
      </c>
      <c r="F399" s="15">
        <v>60124</v>
      </c>
      <c r="G399" s="16">
        <v>17612540000</v>
      </c>
      <c r="H399" s="15">
        <v>17110</v>
      </c>
      <c r="I399" s="16">
        <v>3478040000</v>
      </c>
      <c r="J399" s="15">
        <v>14005</v>
      </c>
      <c r="K399" s="16">
        <v>2280045000</v>
      </c>
      <c r="L399" s="15">
        <v>91239</v>
      </c>
      <c r="M399" s="16">
        <v>23370625000</v>
      </c>
      <c r="N399" s="16">
        <v>256147.32</v>
      </c>
      <c r="O399" s="17">
        <v>0.086907</v>
      </c>
    </row>
    <row r="400" spans="1:15">
      <c r="A400" t="s">
        <v>126</v>
      </c>
      <c r="B400" t="s">
        <v>127</v>
      </c>
      <c r="C400" t="s">
        <v>52</v>
      </c>
      <c r="D400" t="s">
        <v>53</v>
      </c>
      <c r="E400">
        <v>2024</v>
      </c>
      <c r="F400" s="15">
        <v>63592</v>
      </c>
      <c r="G400" s="16">
        <v>19232210000</v>
      </c>
      <c r="H400" s="15">
        <v>21180</v>
      </c>
      <c r="I400" s="16">
        <v>5060980000</v>
      </c>
      <c r="J400" s="15">
        <v>17987</v>
      </c>
      <c r="K400" s="16">
        <v>3233835000</v>
      </c>
      <c r="L400" s="15">
        <v>102759</v>
      </c>
      <c r="M400" s="16">
        <v>27527025000</v>
      </c>
      <c r="N400" s="16">
        <v>267879.46</v>
      </c>
      <c r="O400" s="17">
        <v>0.067528</v>
      </c>
    </row>
    <row r="401" spans="1:15">
      <c r="A401" t="s">
        <v>126</v>
      </c>
      <c r="B401" t="s">
        <v>127</v>
      </c>
      <c r="C401" t="s">
        <v>52</v>
      </c>
      <c r="D401" t="s">
        <v>53</v>
      </c>
      <c r="E401">
        <v>2025</v>
      </c>
      <c r="F401" s="15">
        <v>66746</v>
      </c>
      <c r="G401" s="16">
        <v>22006350000</v>
      </c>
      <c r="H401" s="15">
        <v>28694</v>
      </c>
      <c r="I401" s="16">
        <v>8286920000</v>
      </c>
      <c r="J401" s="15">
        <v>22205</v>
      </c>
      <c r="K401" s="16">
        <v>4363325000</v>
      </c>
      <c r="L401" s="15">
        <v>117645</v>
      </c>
      <c r="M401" s="16">
        <v>34656595000</v>
      </c>
      <c r="N401" s="16">
        <v>294586.21</v>
      </c>
      <c r="O401" s="17">
        <v>0.056952</v>
      </c>
    </row>
    <row r="402" spans="1:15">
      <c r="A402" t="s">
        <v>128</v>
      </c>
      <c r="B402" t="s">
        <v>129</v>
      </c>
      <c r="C402" t="s">
        <v>21</v>
      </c>
      <c r="D402" t="s">
        <v>25</v>
      </c>
      <c r="E402">
        <v>2018</v>
      </c>
      <c r="F402" s="15">
        <v>9040</v>
      </c>
      <c r="G402" s="16">
        <v>1970970000</v>
      </c>
      <c r="H402" s="15">
        <v>1563</v>
      </c>
      <c r="I402" s="16">
        <v>340245000</v>
      </c>
      <c r="J402" s="15">
        <v>2103</v>
      </c>
      <c r="K402" s="16">
        <v>440525000</v>
      </c>
      <c r="L402" s="15">
        <v>12706</v>
      </c>
      <c r="M402" s="16">
        <v>2751740000</v>
      </c>
      <c r="N402" s="16">
        <v>216570.12</v>
      </c>
      <c r="O402" s="17">
        <v>0.036058</v>
      </c>
    </row>
    <row r="403" spans="1:15">
      <c r="A403" t="s">
        <v>128</v>
      </c>
      <c r="B403" t="s">
        <v>129</v>
      </c>
      <c r="C403" t="s">
        <v>21</v>
      </c>
      <c r="D403" t="s">
        <v>25</v>
      </c>
      <c r="E403">
        <v>2019</v>
      </c>
      <c r="F403" s="15">
        <v>9206</v>
      </c>
      <c r="G403" s="16">
        <v>2188100000</v>
      </c>
      <c r="H403" s="15">
        <v>3085</v>
      </c>
      <c r="I403" s="16">
        <v>911805000</v>
      </c>
      <c r="J403" s="15">
        <v>2696</v>
      </c>
      <c r="K403" s="16">
        <v>700210000</v>
      </c>
      <c r="L403" s="15">
        <v>14987</v>
      </c>
      <c r="M403" s="16">
        <v>3800115000</v>
      </c>
      <c r="N403" s="16">
        <v>253560.75</v>
      </c>
      <c r="O403" s="17">
        <v>0.061312</v>
      </c>
    </row>
    <row r="404" spans="1:15">
      <c r="A404" t="s">
        <v>128</v>
      </c>
      <c r="B404" t="s">
        <v>129</v>
      </c>
      <c r="C404" t="s">
        <v>21</v>
      </c>
      <c r="D404" t="s">
        <v>25</v>
      </c>
      <c r="E404">
        <v>2020</v>
      </c>
      <c r="F404" s="15">
        <v>10136</v>
      </c>
      <c r="G404" s="16">
        <v>2700670000</v>
      </c>
      <c r="H404" s="15">
        <v>11077</v>
      </c>
      <c r="I404" s="16">
        <v>3018655000</v>
      </c>
      <c r="J404" s="15">
        <v>4031</v>
      </c>
      <c r="K404" s="16">
        <v>1114895000</v>
      </c>
      <c r="L404" s="15">
        <v>25244</v>
      </c>
      <c r="M404" s="16">
        <v>6834220000</v>
      </c>
      <c r="N404" s="16">
        <v>270726.51</v>
      </c>
      <c r="O404" s="17">
        <v>0.081801</v>
      </c>
    </row>
    <row r="405" spans="1:15">
      <c r="A405" t="s">
        <v>128</v>
      </c>
      <c r="B405" t="s">
        <v>129</v>
      </c>
      <c r="C405" t="s">
        <v>21</v>
      </c>
      <c r="D405" t="s">
        <v>25</v>
      </c>
      <c r="E405">
        <v>2021</v>
      </c>
      <c r="F405" s="15">
        <v>10874</v>
      </c>
      <c r="G405" s="16">
        <v>3457220000</v>
      </c>
      <c r="H405" s="15">
        <v>9451</v>
      </c>
      <c r="I405" s="16">
        <v>2533215000</v>
      </c>
      <c r="J405" s="15">
        <v>5244</v>
      </c>
      <c r="K405" s="16">
        <v>1509390000</v>
      </c>
      <c r="L405" s="15">
        <v>25569</v>
      </c>
      <c r="M405" s="16">
        <v>7499825000</v>
      </c>
      <c r="N405" s="16">
        <v>293317.1</v>
      </c>
      <c r="O405" s="17">
        <v>0.166941</v>
      </c>
    </row>
    <row r="406" spans="1:15">
      <c r="A406" t="s">
        <v>128</v>
      </c>
      <c r="B406" t="s">
        <v>129</v>
      </c>
      <c r="C406" t="s">
        <v>21</v>
      </c>
      <c r="D406" t="s">
        <v>25</v>
      </c>
      <c r="E406">
        <v>2022</v>
      </c>
      <c r="F406" s="15">
        <v>8350</v>
      </c>
      <c r="G406" s="16">
        <v>2839290000</v>
      </c>
      <c r="H406" s="15">
        <v>1745</v>
      </c>
      <c r="I406" s="16">
        <v>600165000</v>
      </c>
      <c r="J406" s="15">
        <v>2803</v>
      </c>
      <c r="K406" s="16">
        <v>835205000</v>
      </c>
      <c r="L406" s="15">
        <v>12898</v>
      </c>
      <c r="M406" s="16">
        <v>4274660000</v>
      </c>
      <c r="N406" s="16">
        <v>331420.38</v>
      </c>
      <c r="O406" s="17">
        <v>0.07394199999999999</v>
      </c>
    </row>
    <row r="407" spans="1:15">
      <c r="A407" t="s">
        <v>128</v>
      </c>
      <c r="B407" t="s">
        <v>129</v>
      </c>
      <c r="C407" t="s">
        <v>21</v>
      </c>
      <c r="D407" t="s">
        <v>25</v>
      </c>
      <c r="E407">
        <v>2023</v>
      </c>
      <c r="F407" s="15">
        <v>6348</v>
      </c>
      <c r="G407" s="16">
        <v>1987460000</v>
      </c>
      <c r="H407" s="15">
        <v>601</v>
      </c>
      <c r="I407" s="16">
        <v>193135000</v>
      </c>
      <c r="J407" s="15">
        <v>1203</v>
      </c>
      <c r="K407" s="16">
        <v>279195000</v>
      </c>
      <c r="L407" s="15">
        <v>8152</v>
      </c>
      <c r="M407" s="16">
        <v>2459790000</v>
      </c>
      <c r="N407" s="16">
        <v>301740.68</v>
      </c>
      <c r="O407" s="17">
        <v>0.026732</v>
      </c>
    </row>
    <row r="408" spans="1:15">
      <c r="A408" t="s">
        <v>128</v>
      </c>
      <c r="B408" t="s">
        <v>129</v>
      </c>
      <c r="C408" t="s">
        <v>21</v>
      </c>
      <c r="D408" t="s">
        <v>25</v>
      </c>
      <c r="E408">
        <v>2024</v>
      </c>
      <c r="F408" s="15">
        <v>6681</v>
      </c>
      <c r="G408" s="16">
        <v>2167785000</v>
      </c>
      <c r="H408" s="15">
        <v>1122</v>
      </c>
      <c r="I408" s="16">
        <v>420900000</v>
      </c>
      <c r="J408" s="15">
        <v>1620</v>
      </c>
      <c r="K408" s="16">
        <v>380940000</v>
      </c>
      <c r="L408" s="15">
        <v>9423</v>
      </c>
      <c r="M408" s="16">
        <v>2969625000</v>
      </c>
      <c r="N408" s="16">
        <v>315146.45</v>
      </c>
      <c r="O408" s="17">
        <v>0.07483099999999999</v>
      </c>
    </row>
    <row r="409" spans="1:15">
      <c r="A409" t="s">
        <v>128</v>
      </c>
      <c r="B409" t="s">
        <v>129</v>
      </c>
      <c r="C409" t="s">
        <v>21</v>
      </c>
      <c r="D409" t="s">
        <v>25</v>
      </c>
      <c r="E409">
        <v>2025</v>
      </c>
      <c r="F409" s="15">
        <v>7320</v>
      </c>
      <c r="G409" s="16">
        <v>2578610000</v>
      </c>
      <c r="H409" s="15">
        <v>1900</v>
      </c>
      <c r="I409" s="16">
        <v>790450000</v>
      </c>
      <c r="J409" s="15">
        <v>2066</v>
      </c>
      <c r="K409" s="16">
        <v>502770000</v>
      </c>
      <c r="L409" s="15">
        <v>11286</v>
      </c>
      <c r="M409" s="16">
        <v>3871830000</v>
      </c>
      <c r="N409" s="16">
        <v>343064.86</v>
      </c>
      <c r="O409" s="17">
        <v>0.032775</v>
      </c>
    </row>
    <row r="411" spans="1:15">
      <c r="A411" s="5" t="s">
        <v>130</v>
      </c>
    </row>
    <row r="412" spans="1:15">
      <c r="A412" s="5" t="s">
        <v>131</v>
      </c>
    </row>
  </sheetData>
  <pageMargins left="0.7" right="0.7" top="0.75" bottom="0.75" header="0.3" footer="0.3"/>
  <headerFooter>
    <oddFooter>&amp;L&amp;8Built from public FHFA and CFPB data. Not an official Fannie Mae, FHFA, or CFPB product.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S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6.7109375" customWidth="1"/>
    <col min="2" max="19" width="12.7109375" customWidth="1"/>
  </cols>
  <sheetData>
    <row r="1" spans="1:19">
      <c r="A1" s="1" t="s">
        <v>196</v>
      </c>
    </row>
    <row r="2" spans="1:19">
      <c r="A2" s="2" t="s">
        <v>197</v>
      </c>
    </row>
    <row r="3" spans="1:19">
      <c r="B3" t="s">
        <v>4</v>
      </c>
    </row>
    <row r="4" spans="1:19">
      <c r="B4" t="s">
        <v>198</v>
      </c>
      <c r="J4" t="s">
        <v>199</v>
      </c>
      <c r="R4" t="s">
        <v>200</v>
      </c>
      <c r="S4" t="s">
        <v>201</v>
      </c>
    </row>
    <row r="5" spans="1:19">
      <c r="A5" t="s">
        <v>2</v>
      </c>
      <c r="B5">
        <v>2018</v>
      </c>
      <c r="C5">
        <v>2019</v>
      </c>
      <c r="D5">
        <v>2020</v>
      </c>
      <c r="E5">
        <v>2021</v>
      </c>
      <c r="F5">
        <v>2022</v>
      </c>
      <c r="G5">
        <v>2023</v>
      </c>
      <c r="H5">
        <v>2024</v>
      </c>
      <c r="I5">
        <v>2025</v>
      </c>
      <c r="J5">
        <v>2018</v>
      </c>
      <c r="K5">
        <v>2019</v>
      </c>
      <c r="L5">
        <v>2020</v>
      </c>
      <c r="M5">
        <v>2021</v>
      </c>
      <c r="N5">
        <v>2022</v>
      </c>
      <c r="O5">
        <v>2023</v>
      </c>
      <c r="P5">
        <v>2024</v>
      </c>
      <c r="Q5">
        <v>2025</v>
      </c>
    </row>
    <row r="6" spans="1:19">
      <c r="A6" t="s">
        <v>52</v>
      </c>
      <c r="B6" s="15">
        <v>1426742</v>
      </c>
      <c r="C6" s="15">
        <v>1730055</v>
      </c>
      <c r="D6" s="15">
        <v>2863346</v>
      </c>
      <c r="E6" s="15">
        <v>2825134</v>
      </c>
      <c r="F6" s="15">
        <v>1458566</v>
      </c>
      <c r="G6" s="15">
        <v>999757</v>
      </c>
      <c r="H6" s="15">
        <v>1106374</v>
      </c>
      <c r="I6" s="15">
        <v>1248891</v>
      </c>
      <c r="J6" s="16">
        <v>196729.9203359823</v>
      </c>
      <c r="K6" s="16">
        <v>214206.3489311033</v>
      </c>
      <c r="L6" s="16">
        <v>224584.9506137226</v>
      </c>
      <c r="M6" s="16">
        <v>228750.6751892123</v>
      </c>
      <c r="N6" s="16">
        <v>255069.753442765</v>
      </c>
      <c r="O6" s="16">
        <v>255086.9411266938</v>
      </c>
      <c r="P6" s="16">
        <v>265744.4137335115</v>
      </c>
      <c r="Q6" s="16">
        <v>291378.2667983035</v>
      </c>
      <c r="R6" s="15">
        <v>13658865</v>
      </c>
      <c r="S6" s="16">
        <v>236151.4492602423</v>
      </c>
    </row>
    <row r="7" spans="1:19">
      <c r="A7" t="s">
        <v>35</v>
      </c>
      <c r="B7" s="15">
        <v>933635</v>
      </c>
      <c r="C7" s="15">
        <v>1110121</v>
      </c>
      <c r="D7" s="15">
        <v>1766374</v>
      </c>
      <c r="E7" s="15">
        <v>1915895</v>
      </c>
      <c r="F7" s="15">
        <v>978278</v>
      </c>
      <c r="G7" s="15">
        <v>619449</v>
      </c>
      <c r="H7" s="15">
        <v>671115</v>
      </c>
      <c r="I7" s="15">
        <v>766890</v>
      </c>
      <c r="J7" s="16">
        <v>323474.6394468931</v>
      </c>
      <c r="K7" s="16">
        <v>349444.9929332028</v>
      </c>
      <c r="L7" s="16">
        <v>344370.4617481915</v>
      </c>
      <c r="M7" s="16">
        <v>359118.2684854859</v>
      </c>
      <c r="N7" s="16">
        <v>419369.2794890614</v>
      </c>
      <c r="O7" s="16">
        <v>392737.7960090339</v>
      </c>
      <c r="P7" s="16">
        <v>415569.5149117513</v>
      </c>
      <c r="Q7" s="16">
        <v>451440.0631120499</v>
      </c>
      <c r="R7" s="15">
        <v>8761757</v>
      </c>
      <c r="S7" s="16">
        <v>372630.0529676867</v>
      </c>
    </row>
    <row r="8" spans="1:19">
      <c r="A8" t="s">
        <v>17</v>
      </c>
      <c r="B8" s="15">
        <v>2505602</v>
      </c>
      <c r="C8" s="15">
        <v>3005961</v>
      </c>
      <c r="D8" s="15">
        <v>4860924</v>
      </c>
      <c r="E8" s="15">
        <v>5162525</v>
      </c>
      <c r="F8" s="15">
        <v>2887047</v>
      </c>
      <c r="G8" s="15">
        <v>1984330</v>
      </c>
      <c r="H8" s="15">
        <v>2140206</v>
      </c>
      <c r="I8" s="15">
        <v>2330693</v>
      </c>
      <c r="J8" s="16">
        <v>246357.1588783853</v>
      </c>
      <c r="K8" s="16">
        <v>264180.4950230559</v>
      </c>
      <c r="L8" s="16">
        <v>275635.56023505</v>
      </c>
      <c r="M8" s="16">
        <v>290291.7128730611</v>
      </c>
      <c r="N8" s="16">
        <v>338104.2307243353</v>
      </c>
      <c r="O8" s="16">
        <v>333859.8469004651</v>
      </c>
      <c r="P8" s="16">
        <v>348042.3146183125</v>
      </c>
      <c r="Q8" s="16">
        <v>359161.5691127059</v>
      </c>
      <c r="R8" s="15">
        <v>24877288</v>
      </c>
      <c r="S8" s="16">
        <v>300292.3594404663</v>
      </c>
    </row>
    <row r="9" spans="1:19">
      <c r="A9" t="s">
        <v>21</v>
      </c>
      <c r="B9" s="15">
        <v>1766599</v>
      </c>
      <c r="C9" s="15">
        <v>2438576</v>
      </c>
      <c r="D9" s="15">
        <v>4278858</v>
      </c>
      <c r="E9" s="15">
        <v>4180730</v>
      </c>
      <c r="F9" s="15">
        <v>1670588</v>
      </c>
      <c r="G9" s="15">
        <v>916652</v>
      </c>
      <c r="H9" s="15">
        <v>1068010</v>
      </c>
      <c r="I9" s="15">
        <v>1222236</v>
      </c>
      <c r="J9" s="16">
        <v>374506.4924184832</v>
      </c>
      <c r="K9" s="16">
        <v>401752.613000374</v>
      </c>
      <c r="L9" s="16">
        <v>388385.3472118028</v>
      </c>
      <c r="M9" s="16">
        <v>426884.6588992832</v>
      </c>
      <c r="N9" s="16">
        <v>509611.7953678585</v>
      </c>
      <c r="O9" s="16">
        <v>499956.8320365853</v>
      </c>
      <c r="P9" s="16">
        <v>523120.3453151188</v>
      </c>
      <c r="Q9" s="16">
        <v>544384.0305800189</v>
      </c>
      <c r="R9" s="15">
        <v>17542249</v>
      </c>
      <c r="S9" s="16">
        <v>434467.8738170915</v>
      </c>
    </row>
    <row r="10" spans="1:19">
      <c r="A10" t="s">
        <v>202</v>
      </c>
      <c r="B10" s="15">
        <v>6632578</v>
      </c>
      <c r="C10" s="15">
        <v>8284713</v>
      </c>
      <c r="D10" s="15">
        <v>13769502</v>
      </c>
      <c r="E10" s="15">
        <v>14084284</v>
      </c>
      <c r="F10" s="15">
        <v>6994479</v>
      </c>
      <c r="G10" s="15">
        <v>4520188</v>
      </c>
      <c r="H10" s="15">
        <v>4985705</v>
      </c>
      <c r="I10" s="15">
        <v>5568710</v>
      </c>
      <c r="J10" s="16">
        <v>280670.0305672997</v>
      </c>
      <c r="K10" s="16">
        <v>305663.6403699199</v>
      </c>
      <c r="L10" s="16">
        <v>308873.9672647566</v>
      </c>
      <c r="M10" s="16">
        <v>327855.6389518984</v>
      </c>
      <c r="N10" s="16">
        <v>373118.5646564955</v>
      </c>
      <c r="O10" s="16">
        <v>358188.7589631228</v>
      </c>
      <c r="P10" s="16">
        <v>376373.5830740086</v>
      </c>
      <c r="Q10" s="16">
        <v>397321.0456281616</v>
      </c>
      <c r="R10" s="15">
        <v>64840159</v>
      </c>
      <c r="S10" s="16">
        <v>332856.3379216883</v>
      </c>
    </row>
    <row r="37" spans="1:1">
      <c r="A37" s="5" t="s">
        <v>203</v>
      </c>
    </row>
    <row r="38" spans="1:1">
      <c r="A38" s="5" t="s">
        <v>131</v>
      </c>
    </row>
  </sheetData>
  <pageMargins left="0.7" right="0.7" top="0.75" bottom="0.75" header="0.3" footer="0.3"/>
  <headerFooter>
    <oddFooter>&amp;L&amp;8Built from public FHFA and CFPB data. Not an official Fannie Mae, FHFA, or CFPB product.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70.7109375" customWidth="1"/>
    <col min="3" max="3" width="40.7109375" customWidth="1"/>
  </cols>
  <sheetData>
    <row r="1" spans="1:3">
      <c r="A1" s="1" t="s">
        <v>222</v>
      </c>
    </row>
    <row r="3" spans="1:3">
      <c r="A3" s="13" t="s">
        <v>223</v>
      </c>
      <c r="B3" s="13" t="s">
        <v>224</v>
      </c>
      <c r="C3" s="13" t="s">
        <v>225</v>
      </c>
    </row>
    <row r="4" spans="1:3">
      <c r="A4" t="s">
        <v>226</v>
      </c>
      <c r="B4" s="18" t="s">
        <v>227</v>
      </c>
      <c r="C4" s="19" t="s">
        <v>228</v>
      </c>
    </row>
    <row r="5" spans="1:3">
      <c r="A5" t="s">
        <v>229</v>
      </c>
      <c r="B5" s="18" t="s">
        <v>230</v>
      </c>
      <c r="C5" s="19" t="s">
        <v>231</v>
      </c>
    </row>
    <row r="6" spans="1:3">
      <c r="A6" t="s">
        <v>232</v>
      </c>
      <c r="B6" s="18" t="s">
        <v>233</v>
      </c>
      <c r="C6" s="19" t="s">
        <v>234</v>
      </c>
    </row>
    <row r="9" spans="1:3">
      <c r="A9" s="13" t="s">
        <v>235</v>
      </c>
      <c r="B9" s="13" t="s">
        <v>236</v>
      </c>
    </row>
    <row r="10" spans="1:3">
      <c r="A10" s="6" t="s">
        <v>237</v>
      </c>
      <c r="B10" s="19" t="s">
        <v>238</v>
      </c>
    </row>
    <row r="11" spans="1:3">
      <c r="A11" s="6" t="s">
        <v>239</v>
      </c>
      <c r="B11" s="19" t="s">
        <v>240</v>
      </c>
    </row>
    <row r="12" spans="1:3">
      <c r="A12" s="6" t="s">
        <v>14</v>
      </c>
      <c r="B12" s="19" t="s">
        <v>241</v>
      </c>
    </row>
    <row r="13" spans="1:3">
      <c r="A13" s="6" t="s">
        <v>242</v>
      </c>
      <c r="B13" s="19" t="s">
        <v>243</v>
      </c>
    </row>
    <row r="14" spans="1:3">
      <c r="A14" s="6" t="s">
        <v>244</v>
      </c>
      <c r="B14" s="19" t="s">
        <v>245</v>
      </c>
    </row>
    <row r="15" spans="1:3">
      <c r="A15" s="6" t="s">
        <v>133</v>
      </c>
      <c r="B15" s="19" t="s">
        <v>246</v>
      </c>
    </row>
    <row r="16" spans="1:3">
      <c r="A16" s="6" t="s">
        <v>247</v>
      </c>
      <c r="B16" s="19" t="s">
        <v>248</v>
      </c>
    </row>
    <row r="17" spans="1:2">
      <c r="A17" s="6" t="s">
        <v>249</v>
      </c>
      <c r="B17" s="19" t="s">
        <v>250</v>
      </c>
    </row>
    <row r="18" spans="1:2">
      <c r="A18" s="6" t="s">
        <v>13</v>
      </c>
      <c r="B18" s="19" t="s">
        <v>251</v>
      </c>
    </row>
    <row r="19" spans="1:2">
      <c r="A19" s="6" t="s">
        <v>252</v>
      </c>
      <c r="B19" s="19" t="s">
        <v>253</v>
      </c>
    </row>
    <row r="20" spans="1:2">
      <c r="A20" s="6" t="s">
        <v>254</v>
      </c>
      <c r="B20" s="19" t="s">
        <v>255</v>
      </c>
    </row>
    <row r="22" spans="1:2">
      <c r="A22" s="5" t="s">
        <v>256</v>
      </c>
    </row>
    <row r="23" spans="1:2">
      <c r="A23" s="6" t="s">
        <v>131</v>
      </c>
    </row>
  </sheetData>
  <hyperlinks>
    <hyperlink ref="B4" r:id="rId1"/>
    <hyperlink ref="B5" r:id="rId2"/>
    <hyperlink ref="B6" r:id="rId3"/>
  </hyperlinks>
  <pageMargins left="0.7" right="0.7" top="0.75" bottom="0.75" header="0.3" footer="0.3"/>
  <headerFooter>
    <oddFooter>&amp;L&amp;8Built from public FHFA and CFPB data. Not an official Fannie Mae, FHFA, or CFPB product.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BQ10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6" width="15.7109375" customWidth="1"/>
    <col min="8" max="8" width="30.7109375" customWidth="1"/>
    <col min="9" max="14" width="14.7109375" customWidth="1"/>
    <col min="16" max="16" width="10.7109375" customWidth="1"/>
    <col min="17" max="18" width="13.7109375" customWidth="1"/>
  </cols>
  <sheetData>
    <row r="1" spans="1:69">
      <c r="A1" s="13" t="s">
        <v>0</v>
      </c>
      <c r="B1" s="13" t="s">
        <v>1</v>
      </c>
      <c r="C1" s="13" t="s">
        <v>2</v>
      </c>
      <c r="D1" s="13" t="s">
        <v>132</v>
      </c>
      <c r="E1" s="13" t="s">
        <v>133</v>
      </c>
      <c r="F1" s="13" t="s">
        <v>134</v>
      </c>
      <c r="H1" s="13" t="s">
        <v>135</v>
      </c>
      <c r="I1" s="13" t="s">
        <v>136</v>
      </c>
      <c r="P1" s="13" t="s">
        <v>147</v>
      </c>
      <c r="Q1" s="13" t="s">
        <v>148</v>
      </c>
      <c r="R1" s="13" t="s">
        <v>140</v>
      </c>
      <c r="S1" s="13" t="s">
        <v>15</v>
      </c>
      <c r="T1" s="13" t="s">
        <v>19</v>
      </c>
      <c r="U1" s="13" t="s">
        <v>23</v>
      </c>
      <c r="V1" s="13" t="s">
        <v>26</v>
      </c>
      <c r="W1" s="13" t="s">
        <v>29</v>
      </c>
      <c r="X1" s="13" t="s">
        <v>31</v>
      </c>
      <c r="Y1" s="13" t="s">
        <v>33</v>
      </c>
      <c r="Z1" s="13" t="s">
        <v>37</v>
      </c>
      <c r="AA1" s="13" t="s">
        <v>40</v>
      </c>
      <c r="AB1" s="13" t="s">
        <v>42</v>
      </c>
      <c r="AC1" s="13" t="s">
        <v>44</v>
      </c>
      <c r="AD1" s="13" t="s">
        <v>46</v>
      </c>
      <c r="AE1" s="13" t="s">
        <v>48</v>
      </c>
      <c r="AF1" s="13" t="s">
        <v>50</v>
      </c>
      <c r="AG1" s="13" t="s">
        <v>54</v>
      </c>
      <c r="AH1" s="13" t="s">
        <v>56</v>
      </c>
      <c r="AI1" s="13" t="s">
        <v>59</v>
      </c>
      <c r="AJ1" s="13" t="s">
        <v>61</v>
      </c>
      <c r="AK1" s="13" t="s">
        <v>63</v>
      </c>
      <c r="AL1" s="13" t="s">
        <v>65</v>
      </c>
      <c r="AM1" s="13" t="s">
        <v>67</v>
      </c>
      <c r="AN1" s="13" t="s">
        <v>69</v>
      </c>
      <c r="AO1" s="13" t="s">
        <v>71</v>
      </c>
      <c r="AP1" s="13" t="s">
        <v>73</v>
      </c>
      <c r="AQ1" s="13" t="s">
        <v>75</v>
      </c>
      <c r="AR1" s="13" t="s">
        <v>77</v>
      </c>
      <c r="AS1" s="13" t="s">
        <v>79</v>
      </c>
      <c r="AT1" s="13" t="s">
        <v>81</v>
      </c>
      <c r="AU1" s="13" t="s">
        <v>83</v>
      </c>
      <c r="AV1" s="13" t="s">
        <v>85</v>
      </c>
      <c r="AW1" s="13" t="s">
        <v>87</v>
      </c>
      <c r="AX1" s="13" t="s">
        <v>90</v>
      </c>
      <c r="AY1" s="13" t="s">
        <v>92</v>
      </c>
      <c r="AZ1" s="13" t="s">
        <v>94</v>
      </c>
      <c r="BA1" s="13" t="s">
        <v>96</v>
      </c>
      <c r="BB1" s="13" t="s">
        <v>98</v>
      </c>
      <c r="BC1" s="13" t="s">
        <v>100</v>
      </c>
      <c r="BD1" s="13" t="s">
        <v>102</v>
      </c>
      <c r="BE1" s="13" t="s">
        <v>104</v>
      </c>
      <c r="BF1" s="13" t="s">
        <v>106</v>
      </c>
      <c r="BG1" s="13" t="s">
        <v>108</v>
      </c>
      <c r="BH1" s="13" t="s">
        <v>110</v>
      </c>
      <c r="BI1" s="13" t="s">
        <v>112</v>
      </c>
      <c r="BJ1" s="13" t="s">
        <v>114</v>
      </c>
      <c r="BK1" s="13" t="s">
        <v>116</v>
      </c>
      <c r="BL1" s="13" t="s">
        <v>118</v>
      </c>
      <c r="BM1" s="13" t="s">
        <v>120</v>
      </c>
      <c r="BN1" s="13" t="s">
        <v>122</v>
      </c>
      <c r="BO1" s="13" t="s">
        <v>124</v>
      </c>
      <c r="BP1" s="13" t="s">
        <v>126</v>
      </c>
      <c r="BQ1" s="13" t="s">
        <v>128</v>
      </c>
    </row>
    <row r="2" spans="1:69">
      <c r="A2" t="s">
        <v>15</v>
      </c>
      <c r="B2" t="s">
        <v>16</v>
      </c>
      <c r="C2" t="s">
        <v>17</v>
      </c>
      <c r="D2" s="17">
        <v>0.02793823894617509</v>
      </c>
      <c r="E2" s="17">
        <v>0.6222423692958599</v>
      </c>
      <c r="F2" s="20">
        <v>375.76</v>
      </c>
      <c r="H2" t="s">
        <v>137</v>
      </c>
      <c r="I2" s="17">
        <v>0.02089194299681774</v>
      </c>
      <c r="P2" t="s">
        <v>149</v>
      </c>
      <c r="Q2" s="20">
        <v>209</v>
      </c>
      <c r="R2" s="20">
        <f>INDEX($S$2:$BQ$2,MATCH($I$7,$S$1:$BQ$1,0))</f>
        <v>219.68</v>
      </c>
      <c r="S2" s="20">
        <v>185.24</v>
      </c>
      <c r="T2" s="20">
        <v>241.18</v>
      </c>
      <c r="U2" s="20">
        <v>240.4</v>
      </c>
      <c r="V2" s="20">
        <v>187.74</v>
      </c>
      <c r="W2" s="20">
        <v>218.62</v>
      </c>
      <c r="X2" s="20">
        <v>327.52</v>
      </c>
      <c r="Y2" s="20">
        <v>160.47</v>
      </c>
      <c r="Z2" s="20">
        <v>181.86</v>
      </c>
      <c r="AA2" s="20">
        <v>418.02</v>
      </c>
      <c r="AB2" s="20">
        <v>225.16</v>
      </c>
      <c r="AC2" s="20">
        <v>185.52</v>
      </c>
      <c r="AD2" s="20">
        <v>213.16</v>
      </c>
      <c r="AE2" s="20">
        <v>229.53</v>
      </c>
      <c r="AF2" s="20">
        <v>176.55</v>
      </c>
      <c r="AG2" s="20">
        <v>169.97</v>
      </c>
      <c r="AH2" s="20">
        <v>210.62</v>
      </c>
      <c r="AI2" s="20">
        <v>203.57</v>
      </c>
      <c r="AJ2" s="20">
        <v>197.58</v>
      </c>
      <c r="AK2" s="20">
        <v>248.63</v>
      </c>
      <c r="AL2" s="20">
        <v>204.18</v>
      </c>
      <c r="AM2" s="20">
        <v>217.12</v>
      </c>
      <c r="AN2" s="20">
        <v>231.09</v>
      </c>
      <c r="AO2" s="20">
        <v>174.64</v>
      </c>
      <c r="AP2" s="20">
        <v>226.73</v>
      </c>
      <c r="AQ2" s="20">
        <v>184.32</v>
      </c>
      <c r="AR2" s="20">
        <v>191.59</v>
      </c>
      <c r="AS2" s="20">
        <v>327.79</v>
      </c>
      <c r="AT2" s="20">
        <v>215.83</v>
      </c>
      <c r="AU2" s="20">
        <v>180.32</v>
      </c>
      <c r="AV2" s="20">
        <v>206.95</v>
      </c>
      <c r="AW2" s="20">
        <v>210.3</v>
      </c>
      <c r="AX2" s="20">
        <v>210.62</v>
      </c>
      <c r="AY2" s="20">
        <v>203.58</v>
      </c>
      <c r="AZ2" s="20">
        <v>190.3</v>
      </c>
      <c r="BA2" s="20">
        <v>293.74</v>
      </c>
      <c r="BB2" s="20">
        <v>162.59</v>
      </c>
      <c r="BC2" s="20">
        <v>212.33</v>
      </c>
      <c r="BD2" s="20">
        <v>309.66</v>
      </c>
      <c r="BE2" s="20">
        <v>190</v>
      </c>
      <c r="BF2" s="20">
        <v>186.37</v>
      </c>
      <c r="BG2" s="20">
        <v>194.63</v>
      </c>
      <c r="BH2" s="20">
        <v>247.15</v>
      </c>
      <c r="BI2" s="20">
        <v>204.47</v>
      </c>
      <c r="BJ2" s="20">
        <v>226.71</v>
      </c>
      <c r="BK2" s="20">
        <v>300.13</v>
      </c>
      <c r="BL2" s="20">
        <v>203.95</v>
      </c>
      <c r="BM2" s="20">
        <v>219.68</v>
      </c>
      <c r="BN2" s="20">
        <v>252.04</v>
      </c>
      <c r="BO2" s="20">
        <v>195.42</v>
      </c>
      <c r="BP2" s="20">
        <v>211.44</v>
      </c>
      <c r="BQ2" s="20">
        <v>313.14</v>
      </c>
    </row>
    <row r="3" spans="1:69">
      <c r="A3" t="s">
        <v>19</v>
      </c>
      <c r="B3" t="s">
        <v>20</v>
      </c>
      <c r="C3" t="s">
        <v>21</v>
      </c>
      <c r="D3" s="17">
        <v>0.08276006931680935</v>
      </c>
      <c r="E3" s="17">
        <v>0.5365633123610745</v>
      </c>
      <c r="F3" s="20">
        <v>407.85</v>
      </c>
      <c r="H3" t="s">
        <v>138</v>
      </c>
      <c r="I3" s="17">
        <v>0.60492872140568</v>
      </c>
      <c r="P3" t="s">
        <v>150</v>
      </c>
      <c r="Q3" s="20">
        <v>211.68</v>
      </c>
      <c r="R3" s="20">
        <f>INDEX($S$3:$BQ$3,MATCH($I$7,$S$1:$BQ$1,0))</f>
        <v>220.63</v>
      </c>
      <c r="S3" s="20">
        <v>188.57</v>
      </c>
      <c r="T3" s="20">
        <v>240.72</v>
      </c>
      <c r="U3" s="20">
        <v>243.62</v>
      </c>
      <c r="V3" s="20">
        <v>191.87</v>
      </c>
      <c r="W3" s="20">
        <v>221.64</v>
      </c>
      <c r="X3" s="20">
        <v>334.54</v>
      </c>
      <c r="Y3" s="20">
        <v>161.14</v>
      </c>
      <c r="Z3" s="20">
        <v>182.68</v>
      </c>
      <c r="AA3" s="20">
        <v>429.13</v>
      </c>
      <c r="AB3" s="20">
        <v>229.59</v>
      </c>
      <c r="AC3" s="20">
        <v>188.15</v>
      </c>
      <c r="AD3" s="20">
        <v>213.9</v>
      </c>
      <c r="AE3" s="20">
        <v>237.05</v>
      </c>
      <c r="AF3" s="20">
        <v>178.21</v>
      </c>
      <c r="AG3" s="20">
        <v>171.59</v>
      </c>
      <c r="AH3" s="20">
        <v>212.39</v>
      </c>
      <c r="AI3" s="20">
        <v>204.87</v>
      </c>
      <c r="AJ3" s="20">
        <v>199.01</v>
      </c>
      <c r="AK3" s="20">
        <v>250.55</v>
      </c>
      <c r="AL3" s="20">
        <v>211.03</v>
      </c>
      <c r="AM3" s="20">
        <v>219.28</v>
      </c>
      <c r="AN3" s="20">
        <v>234.51</v>
      </c>
      <c r="AO3" s="20">
        <v>178.55</v>
      </c>
      <c r="AP3" s="20">
        <v>232.49</v>
      </c>
      <c r="AQ3" s="20">
        <v>185.05</v>
      </c>
      <c r="AR3" s="20">
        <v>194.73</v>
      </c>
      <c r="AS3" s="20">
        <v>329.91</v>
      </c>
      <c r="AT3" s="20">
        <v>217.08</v>
      </c>
      <c r="AU3" s="20">
        <v>183.56</v>
      </c>
      <c r="AV3" s="20">
        <v>207.43</v>
      </c>
      <c r="AW3" s="20">
        <v>209.16</v>
      </c>
      <c r="AX3" s="20">
        <v>211.45</v>
      </c>
      <c r="AY3" s="20">
        <v>204.6</v>
      </c>
      <c r="AZ3" s="20">
        <v>192.43</v>
      </c>
      <c r="BA3" s="20">
        <v>293.13</v>
      </c>
      <c r="BB3" s="20">
        <v>164.39</v>
      </c>
      <c r="BC3" s="20">
        <v>211.56</v>
      </c>
      <c r="BD3" s="20">
        <v>319.13</v>
      </c>
      <c r="BE3" s="20">
        <v>192.19</v>
      </c>
      <c r="BF3" s="20">
        <v>187.28</v>
      </c>
      <c r="BG3" s="20">
        <v>196.65</v>
      </c>
      <c r="BH3" s="20">
        <v>249.1</v>
      </c>
      <c r="BI3" s="20">
        <v>205.71</v>
      </c>
      <c r="BJ3" s="20">
        <v>230.64</v>
      </c>
      <c r="BK3" s="20">
        <v>302.4</v>
      </c>
      <c r="BL3" s="20">
        <v>210.98</v>
      </c>
      <c r="BM3" s="20">
        <v>220.63</v>
      </c>
      <c r="BN3" s="20">
        <v>258.04</v>
      </c>
      <c r="BO3" s="20">
        <v>198.94</v>
      </c>
      <c r="BP3" s="20">
        <v>212.47</v>
      </c>
      <c r="BQ3" s="20">
        <v>312.27</v>
      </c>
    </row>
    <row r="4" spans="1:69">
      <c r="A4" t="s">
        <v>23</v>
      </c>
      <c r="B4" t="s">
        <v>24</v>
      </c>
      <c r="C4" t="s">
        <v>21</v>
      </c>
      <c r="D4" s="17">
        <v>0.005221423767212796</v>
      </c>
      <c r="E4" s="17">
        <v>0.6458807066643346</v>
      </c>
      <c r="F4" s="20">
        <v>564.5700000000001</v>
      </c>
      <c r="H4" t="s">
        <v>139</v>
      </c>
      <c r="I4" s="16">
        <f>SUMIFS(tblData[Total dollar volume],tblData[Year],2025)/SUMIFS(tblData[Total loans],tblData[Year],2025)</f>
        <v>397321.04562816164</v>
      </c>
      <c r="P4" t="s">
        <v>151</v>
      </c>
      <c r="Q4" s="20">
        <v>214.25</v>
      </c>
      <c r="R4" s="20">
        <f>INDEX($S$4:$BQ$4,MATCH($I$7,$S$1:$BQ$1,0))</f>
        <v>221.96</v>
      </c>
      <c r="S4" s="20">
        <v>188.85</v>
      </c>
      <c r="T4" s="20">
        <v>240.9</v>
      </c>
      <c r="U4" s="20">
        <v>249.41</v>
      </c>
      <c r="V4" s="20">
        <v>194.58</v>
      </c>
      <c r="W4" s="20">
        <v>225.38</v>
      </c>
      <c r="X4" s="20">
        <v>344.18</v>
      </c>
      <c r="Y4" s="20">
        <v>160.49</v>
      </c>
      <c r="Z4" s="20">
        <v>184.89</v>
      </c>
      <c r="AA4" s="20">
        <v>445.61</v>
      </c>
      <c r="AB4" s="20">
        <v>234.72</v>
      </c>
      <c r="AC4" s="20">
        <v>191.51</v>
      </c>
      <c r="AD4" s="20">
        <v>215.3</v>
      </c>
      <c r="AE4" s="20">
        <v>237.79</v>
      </c>
      <c r="AF4" s="20">
        <v>179.01</v>
      </c>
      <c r="AG4" s="20">
        <v>172.34</v>
      </c>
      <c r="AH4" s="20">
        <v>213.72</v>
      </c>
      <c r="AI4" s="20">
        <v>207.2</v>
      </c>
      <c r="AJ4" s="20">
        <v>200.64</v>
      </c>
      <c r="AK4" s="20">
        <v>252.93</v>
      </c>
      <c r="AL4" s="20">
        <v>208.75</v>
      </c>
      <c r="AM4" s="20">
        <v>220.01</v>
      </c>
      <c r="AN4" s="20">
        <v>236.41</v>
      </c>
      <c r="AO4" s="20">
        <v>179.26</v>
      </c>
      <c r="AP4" s="20">
        <v>234.2</v>
      </c>
      <c r="AQ4" s="20">
        <v>185.91</v>
      </c>
      <c r="AR4" s="20">
        <v>197.37</v>
      </c>
      <c r="AS4" s="20">
        <v>331.78</v>
      </c>
      <c r="AT4" s="20">
        <v>220.94</v>
      </c>
      <c r="AU4" s="20">
        <v>190.2</v>
      </c>
      <c r="AV4" s="20">
        <v>210.62</v>
      </c>
      <c r="AW4" s="20">
        <v>210.82</v>
      </c>
      <c r="AX4" s="20">
        <v>217.4</v>
      </c>
      <c r="AY4" s="20">
        <v>206.63</v>
      </c>
      <c r="AZ4" s="20">
        <v>195.82</v>
      </c>
      <c r="BA4" s="20">
        <v>295.05</v>
      </c>
      <c r="BB4" s="20">
        <v>165.63</v>
      </c>
      <c r="BC4" s="20">
        <v>214.36</v>
      </c>
      <c r="BD4" s="20">
        <v>327.59</v>
      </c>
      <c r="BE4" s="20">
        <v>194.08</v>
      </c>
      <c r="BF4" s="20">
        <v>189.21</v>
      </c>
      <c r="BG4" s="20">
        <v>196.15</v>
      </c>
      <c r="BH4" s="20">
        <v>251.11</v>
      </c>
      <c r="BI4" s="20">
        <v>209.2</v>
      </c>
      <c r="BJ4" s="20">
        <v>233.92</v>
      </c>
      <c r="BK4" s="20">
        <v>307.91</v>
      </c>
      <c r="BL4" s="20">
        <v>210.76</v>
      </c>
      <c r="BM4" s="20">
        <v>221.96</v>
      </c>
      <c r="BN4" s="20">
        <v>263.55</v>
      </c>
      <c r="BO4" s="20">
        <v>199</v>
      </c>
      <c r="BP4" s="20">
        <v>213.29</v>
      </c>
      <c r="BQ4" s="20">
        <v>316.71</v>
      </c>
    </row>
    <row r="5" spans="1:69">
      <c r="A5" t="s">
        <v>26</v>
      </c>
      <c r="B5" t="s">
        <v>27</v>
      </c>
      <c r="C5" t="s">
        <v>17</v>
      </c>
      <c r="D5" s="17">
        <v>0.01089769786132688</v>
      </c>
      <c r="E5" s="17">
        <v>0.6414952110677545</v>
      </c>
      <c r="F5" s="20">
        <v>370.19</v>
      </c>
      <c r="P5" t="s">
        <v>152</v>
      </c>
      <c r="Q5" s="20">
        <v>217.28</v>
      </c>
      <c r="R5" s="20">
        <f>INDEX($S$5:$BQ$5,MATCH($I$7,$S$1:$BQ$1,0))</f>
        <v>224.43</v>
      </c>
      <c r="S5" s="20">
        <v>189.79</v>
      </c>
      <c r="T5" s="20">
        <v>244.77</v>
      </c>
      <c r="U5" s="20">
        <v>253.21</v>
      </c>
      <c r="V5" s="20">
        <v>195.28</v>
      </c>
      <c r="W5" s="20">
        <v>229.98</v>
      </c>
      <c r="X5" s="20">
        <v>349.66</v>
      </c>
      <c r="Y5" s="20">
        <v>161.03</v>
      </c>
      <c r="Z5" s="20">
        <v>187.86</v>
      </c>
      <c r="AA5" s="20">
        <v>437.46</v>
      </c>
      <c r="AB5" s="20">
        <v>240.32</v>
      </c>
      <c r="AC5" s="20">
        <v>193.63</v>
      </c>
      <c r="AD5" s="20">
        <v>220.73</v>
      </c>
      <c r="AE5" s="20">
        <v>247.79</v>
      </c>
      <c r="AF5" s="20">
        <v>179.8</v>
      </c>
      <c r="AG5" s="20">
        <v>174.31</v>
      </c>
      <c r="AH5" s="20">
        <v>217.74</v>
      </c>
      <c r="AI5" s="20">
        <v>207.94</v>
      </c>
      <c r="AJ5" s="20">
        <v>204.9</v>
      </c>
      <c r="AK5" s="20">
        <v>254.42</v>
      </c>
      <c r="AL5" s="20">
        <v>210.29</v>
      </c>
      <c r="AM5" s="20">
        <v>219.93</v>
      </c>
      <c r="AN5" s="20">
        <v>239</v>
      </c>
      <c r="AO5" s="20">
        <v>183.11</v>
      </c>
      <c r="AP5" s="20">
        <v>238.52</v>
      </c>
      <c r="AQ5" s="20">
        <v>189.63</v>
      </c>
      <c r="AR5" s="20">
        <v>199.95</v>
      </c>
      <c r="AS5" s="20">
        <v>335.36</v>
      </c>
      <c r="AT5" s="20">
        <v>222</v>
      </c>
      <c r="AU5" s="20">
        <v>193.54</v>
      </c>
      <c r="AV5" s="20">
        <v>212.11</v>
      </c>
      <c r="AW5" s="20">
        <v>211.45</v>
      </c>
      <c r="AX5" s="20">
        <v>214.38</v>
      </c>
      <c r="AY5" s="20">
        <v>207.16</v>
      </c>
      <c r="AZ5" s="20">
        <v>198.25</v>
      </c>
      <c r="BA5" s="20">
        <v>297.16</v>
      </c>
      <c r="BB5" s="20">
        <v>167.87</v>
      </c>
      <c r="BC5" s="20">
        <v>216.54</v>
      </c>
      <c r="BD5" s="20">
        <v>336.88</v>
      </c>
      <c r="BE5" s="20">
        <v>195.26</v>
      </c>
      <c r="BF5" s="20">
        <v>192.07</v>
      </c>
      <c r="BG5" s="20">
        <v>203.24</v>
      </c>
      <c r="BH5" s="20">
        <v>254.63</v>
      </c>
      <c r="BI5" s="20">
        <v>211.58</v>
      </c>
      <c r="BJ5" s="20">
        <v>237.36</v>
      </c>
      <c r="BK5" s="20">
        <v>315.75</v>
      </c>
      <c r="BL5" s="20">
        <v>207.88</v>
      </c>
      <c r="BM5" s="20">
        <v>224.43</v>
      </c>
      <c r="BN5" s="20">
        <v>272.17</v>
      </c>
      <c r="BO5" s="20">
        <v>203.77</v>
      </c>
      <c r="BP5" s="20">
        <v>216.53</v>
      </c>
      <c r="BQ5" s="20">
        <v>316.25</v>
      </c>
    </row>
    <row r="6" spans="1:69">
      <c r="A6" t="s">
        <v>29</v>
      </c>
      <c r="B6" t="s">
        <v>30</v>
      </c>
      <c r="C6" t="s">
        <v>21</v>
      </c>
      <c r="D6" s="17">
        <v>-0.002896366590529165</v>
      </c>
      <c r="E6" s="17">
        <v>0.4340472343497541</v>
      </c>
      <c r="F6" s="20">
        <v>417.15</v>
      </c>
      <c r="H6" s="6" t="s">
        <v>140</v>
      </c>
      <c r="I6" s="6" t="str">
        <f>Dashboard!$C$4</f>
        <v>Virginia</v>
      </c>
      <c r="P6" t="s">
        <v>153</v>
      </c>
      <c r="Q6" s="20">
        <v>219.95</v>
      </c>
      <c r="R6" s="20">
        <f>INDEX($S$6:$BQ$6,MATCH($I$7,$S$1:$BQ$1,0))</f>
        <v>226.61</v>
      </c>
      <c r="S6" s="20">
        <v>191.8</v>
      </c>
      <c r="T6" s="20">
        <v>245.15</v>
      </c>
      <c r="U6" s="20">
        <v>257.58</v>
      </c>
      <c r="V6" s="20">
        <v>195.83</v>
      </c>
      <c r="W6" s="20">
        <v>233.56</v>
      </c>
      <c r="X6" s="20">
        <v>359.11</v>
      </c>
      <c r="Y6" s="20">
        <v>160.71</v>
      </c>
      <c r="Z6" s="20">
        <v>187.9</v>
      </c>
      <c r="AA6" s="20">
        <v>434.79</v>
      </c>
      <c r="AB6" s="20">
        <v>245.38</v>
      </c>
      <c r="AC6" s="20">
        <v>195.89</v>
      </c>
      <c r="AD6" s="20">
        <v>220.77</v>
      </c>
      <c r="AE6" s="20">
        <v>250.11</v>
      </c>
      <c r="AF6" s="20">
        <v>180.66</v>
      </c>
      <c r="AG6" s="20">
        <v>175.65</v>
      </c>
      <c r="AH6" s="20">
        <v>218.45</v>
      </c>
      <c r="AI6" s="20">
        <v>212.67</v>
      </c>
      <c r="AJ6" s="20">
        <v>206.19</v>
      </c>
      <c r="AK6" s="20">
        <v>256.94</v>
      </c>
      <c r="AL6" s="20">
        <v>213.35</v>
      </c>
      <c r="AM6" s="20">
        <v>224.56</v>
      </c>
      <c r="AN6" s="20">
        <v>242.03</v>
      </c>
      <c r="AO6" s="20">
        <v>185.38</v>
      </c>
      <c r="AP6" s="20">
        <v>241.64</v>
      </c>
      <c r="AQ6" s="20">
        <v>189.36</v>
      </c>
      <c r="AR6" s="20">
        <v>204.4</v>
      </c>
      <c r="AS6" s="20">
        <v>339.44</v>
      </c>
      <c r="AT6" s="20">
        <v>221.82</v>
      </c>
      <c r="AU6" s="20">
        <v>198.83</v>
      </c>
      <c r="AV6" s="20">
        <v>212.64</v>
      </c>
      <c r="AW6" s="20">
        <v>211.98</v>
      </c>
      <c r="AX6" s="20">
        <v>214.5</v>
      </c>
      <c r="AY6" s="20">
        <v>208.52</v>
      </c>
      <c r="AZ6" s="20">
        <v>200.41</v>
      </c>
      <c r="BA6" s="20">
        <v>297.9</v>
      </c>
      <c r="BB6" s="20">
        <v>169.44</v>
      </c>
      <c r="BC6" s="20">
        <v>215.27</v>
      </c>
      <c r="BD6" s="20">
        <v>346.17</v>
      </c>
      <c r="BE6" s="20">
        <v>196.63</v>
      </c>
      <c r="BF6" s="20">
        <v>193.17</v>
      </c>
      <c r="BG6" s="20">
        <v>205.04</v>
      </c>
      <c r="BH6" s="20">
        <v>260.83</v>
      </c>
      <c r="BI6" s="20">
        <v>215.83</v>
      </c>
      <c r="BJ6" s="20">
        <v>241.5</v>
      </c>
      <c r="BK6" s="20">
        <v>321.94</v>
      </c>
      <c r="BL6" s="20">
        <v>206.88</v>
      </c>
      <c r="BM6" s="20">
        <v>226.61</v>
      </c>
      <c r="BN6" s="20">
        <v>277.79</v>
      </c>
      <c r="BO6" s="20">
        <v>200.17</v>
      </c>
      <c r="BP6" s="20">
        <v>219.5</v>
      </c>
      <c r="BQ6" s="20">
        <v>316.74</v>
      </c>
    </row>
    <row r="7" spans="1:69">
      <c r="A7" t="s">
        <v>31</v>
      </c>
      <c r="B7" t="s">
        <v>32</v>
      </c>
      <c r="C7" t="s">
        <v>21</v>
      </c>
      <c r="D7" s="17">
        <v>-0.006072611078177692</v>
      </c>
      <c r="E7" s="17">
        <v>0.4113645876935956</v>
      </c>
      <c r="F7" s="20">
        <v>674.35</v>
      </c>
      <c r="H7" t="s">
        <v>0</v>
      </c>
      <c r="I7" t="str">
        <f>INDEX($A$2:$A$52,MATCH($I$6,$B$2:$B$52,0))</f>
        <v>VA</v>
      </c>
      <c r="P7" t="s">
        <v>154</v>
      </c>
      <c r="Q7" s="20">
        <v>223.11</v>
      </c>
      <c r="R7" s="20">
        <f>INDEX($S$7:$BQ$7,MATCH($I$7,$S$1:$BQ$1,0))</f>
        <v>228.25</v>
      </c>
      <c r="S7" s="20">
        <v>193.68</v>
      </c>
      <c r="T7" s="20">
        <v>247.5</v>
      </c>
      <c r="U7" s="20">
        <v>262.78</v>
      </c>
      <c r="V7" s="20">
        <v>197.56</v>
      </c>
      <c r="W7" s="20">
        <v>237.65</v>
      </c>
      <c r="X7" s="20">
        <v>367.69</v>
      </c>
      <c r="Y7" s="20">
        <v>161.23</v>
      </c>
      <c r="Z7" s="20">
        <v>189.32</v>
      </c>
      <c r="AA7" s="20">
        <v>459.37</v>
      </c>
      <c r="AB7" s="20">
        <v>251.1</v>
      </c>
      <c r="AC7" s="20">
        <v>200.28</v>
      </c>
      <c r="AD7" s="20">
        <v>217.47</v>
      </c>
      <c r="AE7" s="20">
        <v>253.23</v>
      </c>
      <c r="AF7" s="20">
        <v>182.65</v>
      </c>
      <c r="AG7" s="20">
        <v>179.12</v>
      </c>
      <c r="AH7" s="20">
        <v>220.73</v>
      </c>
      <c r="AI7" s="20">
        <v>215.07</v>
      </c>
      <c r="AJ7" s="20">
        <v>208.16</v>
      </c>
      <c r="AK7" s="20">
        <v>258.15</v>
      </c>
      <c r="AL7" s="20">
        <v>215.35</v>
      </c>
      <c r="AM7" s="20">
        <v>227.03</v>
      </c>
      <c r="AN7" s="20">
        <v>244.81</v>
      </c>
      <c r="AO7" s="20">
        <v>187.87</v>
      </c>
      <c r="AP7" s="20">
        <v>244.14</v>
      </c>
      <c r="AQ7" s="20">
        <v>190.07</v>
      </c>
      <c r="AR7" s="20">
        <v>203.62</v>
      </c>
      <c r="AS7" s="20">
        <v>341.92</v>
      </c>
      <c r="AT7" s="20">
        <v>226.83</v>
      </c>
      <c r="AU7" s="20">
        <v>202.56</v>
      </c>
      <c r="AV7" s="20">
        <v>217.45</v>
      </c>
      <c r="AW7" s="20">
        <v>214.91</v>
      </c>
      <c r="AX7" s="20">
        <v>219.88</v>
      </c>
      <c r="AY7" s="20">
        <v>212.1</v>
      </c>
      <c r="AZ7" s="20">
        <v>203.12</v>
      </c>
      <c r="BA7" s="20">
        <v>299.49</v>
      </c>
      <c r="BB7" s="20">
        <v>171.7</v>
      </c>
      <c r="BC7" s="20">
        <v>217.45</v>
      </c>
      <c r="BD7" s="20">
        <v>354.18</v>
      </c>
      <c r="BE7" s="20">
        <v>198.43</v>
      </c>
      <c r="BF7" s="20">
        <v>196.17</v>
      </c>
      <c r="BG7" s="20">
        <v>206.44</v>
      </c>
      <c r="BH7" s="20">
        <v>260.11</v>
      </c>
      <c r="BI7" s="20">
        <v>218.86</v>
      </c>
      <c r="BJ7" s="20">
        <v>245.53</v>
      </c>
      <c r="BK7" s="20">
        <v>327.59</v>
      </c>
      <c r="BL7" s="20">
        <v>209.6</v>
      </c>
      <c r="BM7" s="20">
        <v>228.25</v>
      </c>
      <c r="BN7" s="20">
        <v>284.25</v>
      </c>
      <c r="BO7" s="20">
        <v>203.54</v>
      </c>
      <c r="BP7" s="20">
        <v>222.37</v>
      </c>
      <c r="BQ7" s="20">
        <v>316.63</v>
      </c>
    </row>
    <row r="8" spans="1:69">
      <c r="A8" t="s">
        <v>33</v>
      </c>
      <c r="B8" t="s">
        <v>34</v>
      </c>
      <c r="C8" t="s">
        <v>35</v>
      </c>
      <c r="D8" s="17">
        <v>0.04591787517283508</v>
      </c>
      <c r="E8" s="17">
        <v>0.8305512533700452</v>
      </c>
      <c r="F8" s="20">
        <v>319.12</v>
      </c>
      <c r="P8" t="s">
        <v>155</v>
      </c>
      <c r="Q8" s="20">
        <v>226.44</v>
      </c>
      <c r="R8" s="20">
        <f>INDEX($S$8:$BQ$8,MATCH($I$7,$S$1:$BQ$1,0))</f>
        <v>230.76</v>
      </c>
      <c r="S8" s="20">
        <v>195.93</v>
      </c>
      <c r="T8" s="20">
        <v>247.06</v>
      </c>
      <c r="U8" s="20">
        <v>265.52</v>
      </c>
      <c r="V8" s="20">
        <v>199.08</v>
      </c>
      <c r="W8" s="20">
        <v>241.19</v>
      </c>
      <c r="X8" s="20">
        <v>377.69</v>
      </c>
      <c r="Y8" s="20">
        <v>161.33</v>
      </c>
      <c r="Z8" s="20">
        <v>190</v>
      </c>
      <c r="AA8" s="20">
        <v>453.3</v>
      </c>
      <c r="AB8" s="20">
        <v>257.98</v>
      </c>
      <c r="AC8" s="20">
        <v>203.67</v>
      </c>
      <c r="AD8" s="20">
        <v>219.68</v>
      </c>
      <c r="AE8" s="20">
        <v>261.52</v>
      </c>
      <c r="AF8" s="20">
        <v>185.31</v>
      </c>
      <c r="AG8" s="20">
        <v>181.78</v>
      </c>
      <c r="AH8" s="20">
        <v>223.7</v>
      </c>
      <c r="AI8" s="20">
        <v>216.86</v>
      </c>
      <c r="AJ8" s="20">
        <v>211.66</v>
      </c>
      <c r="AK8" s="20">
        <v>259.06</v>
      </c>
      <c r="AL8" s="20">
        <v>218.14</v>
      </c>
      <c r="AM8" s="20">
        <v>226.64</v>
      </c>
      <c r="AN8" s="20">
        <v>249.04</v>
      </c>
      <c r="AO8" s="20">
        <v>191.55</v>
      </c>
      <c r="AP8" s="20">
        <v>248.7</v>
      </c>
      <c r="AQ8" s="20">
        <v>191.57</v>
      </c>
      <c r="AR8" s="20">
        <v>207.39</v>
      </c>
      <c r="AS8" s="20">
        <v>344.17</v>
      </c>
      <c r="AT8" s="20">
        <v>229.77</v>
      </c>
      <c r="AU8" s="20">
        <v>204.99</v>
      </c>
      <c r="AV8" s="20">
        <v>218.49</v>
      </c>
      <c r="AW8" s="20">
        <v>215.92</v>
      </c>
      <c r="AX8" s="20">
        <v>217.94</v>
      </c>
      <c r="AY8" s="20">
        <v>213.69</v>
      </c>
      <c r="AZ8" s="20">
        <v>206.81</v>
      </c>
      <c r="BA8" s="20">
        <v>299.84</v>
      </c>
      <c r="BB8" s="20">
        <v>174.19</v>
      </c>
      <c r="BC8" s="20">
        <v>218.29</v>
      </c>
      <c r="BD8" s="20">
        <v>361.97</v>
      </c>
      <c r="BE8" s="20">
        <v>200.98</v>
      </c>
      <c r="BF8" s="20">
        <v>199.77</v>
      </c>
      <c r="BG8" s="20">
        <v>209.38</v>
      </c>
      <c r="BH8" s="20">
        <v>265.91</v>
      </c>
      <c r="BI8" s="20">
        <v>223.03</v>
      </c>
      <c r="BJ8" s="20">
        <v>250.36</v>
      </c>
      <c r="BK8" s="20">
        <v>334.68</v>
      </c>
      <c r="BL8" s="20">
        <v>213.27</v>
      </c>
      <c r="BM8" s="20">
        <v>230.76</v>
      </c>
      <c r="BN8" s="20">
        <v>291.79</v>
      </c>
      <c r="BO8" s="20">
        <v>202.62</v>
      </c>
      <c r="BP8" s="20">
        <v>225.01</v>
      </c>
      <c r="BQ8" s="20">
        <v>317.32</v>
      </c>
    </row>
    <row r="9" spans="1:69">
      <c r="A9" t="s">
        <v>37</v>
      </c>
      <c r="B9" t="s">
        <v>38</v>
      </c>
      <c r="C9" t="s">
        <v>17</v>
      </c>
      <c r="D9" s="17">
        <v>0.03230100275090964</v>
      </c>
      <c r="E9" s="17">
        <v>0.6079374624173182</v>
      </c>
      <c r="F9" s="20">
        <v>347.62</v>
      </c>
      <c r="H9" s="13" t="s">
        <v>4</v>
      </c>
      <c r="I9" s="13" t="s">
        <v>141</v>
      </c>
      <c r="J9" s="13" t="s">
        <v>142</v>
      </c>
      <c r="K9" s="13" t="s">
        <v>143</v>
      </c>
      <c r="L9" s="13" t="s">
        <v>13</v>
      </c>
      <c r="M9" s="13" t="s">
        <v>144</v>
      </c>
      <c r="N9" s="13" t="s">
        <v>145</v>
      </c>
      <c r="P9" t="s">
        <v>156</v>
      </c>
      <c r="Q9" s="20">
        <v>229.93</v>
      </c>
      <c r="R9" s="20">
        <f>INDEX($S$9:$BQ$9,MATCH($I$7,$S$1:$BQ$1,0))</f>
        <v>232.67</v>
      </c>
      <c r="S9" s="20">
        <v>197.92</v>
      </c>
      <c r="T9" s="20">
        <v>247.32</v>
      </c>
      <c r="U9" s="20">
        <v>271.62</v>
      </c>
      <c r="V9" s="20">
        <v>199.95</v>
      </c>
      <c r="W9" s="20">
        <v>245.74</v>
      </c>
      <c r="X9" s="20">
        <v>387.13</v>
      </c>
      <c r="Y9" s="20">
        <v>162.9</v>
      </c>
      <c r="Z9" s="20">
        <v>189.78</v>
      </c>
      <c r="AA9" s="20">
        <v>469.62</v>
      </c>
      <c r="AB9" s="20">
        <v>262.88</v>
      </c>
      <c r="AC9" s="20">
        <v>206.93</v>
      </c>
      <c r="AD9" s="20">
        <v>230.73</v>
      </c>
      <c r="AE9" s="20">
        <v>265.03</v>
      </c>
      <c r="AF9" s="20">
        <v>187.77</v>
      </c>
      <c r="AG9" s="20">
        <v>184.23</v>
      </c>
      <c r="AH9" s="20">
        <v>225.07</v>
      </c>
      <c r="AI9" s="20">
        <v>220.89</v>
      </c>
      <c r="AJ9" s="20">
        <v>212.71</v>
      </c>
      <c r="AK9" s="20">
        <v>264.71</v>
      </c>
      <c r="AL9" s="20">
        <v>225.53</v>
      </c>
      <c r="AM9" s="20">
        <v>231.16</v>
      </c>
      <c r="AN9" s="20">
        <v>252.89</v>
      </c>
      <c r="AO9" s="20">
        <v>194.75</v>
      </c>
      <c r="AP9" s="20">
        <v>252.02</v>
      </c>
      <c r="AQ9" s="20">
        <v>194.38</v>
      </c>
      <c r="AR9" s="20">
        <v>210.51</v>
      </c>
      <c r="AS9" s="20">
        <v>357.32</v>
      </c>
      <c r="AT9" s="20">
        <v>231.07</v>
      </c>
      <c r="AU9" s="20">
        <v>211.55</v>
      </c>
      <c r="AV9" s="20">
        <v>221.32</v>
      </c>
      <c r="AW9" s="20">
        <v>217.15</v>
      </c>
      <c r="AX9" s="20">
        <v>222.31</v>
      </c>
      <c r="AY9" s="20">
        <v>217.02</v>
      </c>
      <c r="AZ9" s="20">
        <v>210.22</v>
      </c>
      <c r="BA9" s="20">
        <v>301.88</v>
      </c>
      <c r="BB9" s="20">
        <v>176.5</v>
      </c>
      <c r="BC9" s="20">
        <v>220</v>
      </c>
      <c r="BD9" s="20">
        <v>371.82</v>
      </c>
      <c r="BE9" s="20">
        <v>202.92</v>
      </c>
      <c r="BF9" s="20">
        <v>203.09</v>
      </c>
      <c r="BG9" s="20">
        <v>213.43</v>
      </c>
      <c r="BH9" s="20">
        <v>267.01</v>
      </c>
      <c r="BI9" s="20">
        <v>226.96</v>
      </c>
      <c r="BJ9" s="20">
        <v>253.26</v>
      </c>
      <c r="BK9" s="20">
        <v>340.79</v>
      </c>
      <c r="BL9" s="20">
        <v>212.36</v>
      </c>
      <c r="BM9" s="20">
        <v>232.67</v>
      </c>
      <c r="BN9" s="20">
        <v>299.74</v>
      </c>
      <c r="BO9" s="20">
        <v>202.49</v>
      </c>
      <c r="BP9" s="20">
        <v>228.66</v>
      </c>
      <c r="BQ9" s="20">
        <v>318.02</v>
      </c>
    </row>
    <row r="10" spans="1:69">
      <c r="A10" t="s">
        <v>40</v>
      </c>
      <c r="B10" t="s">
        <v>41</v>
      </c>
      <c r="C10" t="s">
        <v>17</v>
      </c>
      <c r="D10" s="17">
        <v>0.01534938519489581</v>
      </c>
      <c r="E10" s="17">
        <v>0.08585903954294749</v>
      </c>
      <c r="F10" s="20">
        <v>604.4</v>
      </c>
      <c r="H10">
        <v>2018</v>
      </c>
      <c r="I10" s="15">
        <f>SUMIFS(tblData[Purchase loans],tblData[State code],$I$7,tblData[Year],$H10)</f>
        <v>126055</v>
      </c>
      <c r="J10" s="15">
        <f>SUMIFS(tblData[Refinance loans],tblData[State code],$I$7,tblData[Year],$H10)</f>
        <v>28560</v>
      </c>
      <c r="K10" s="15">
        <f>SUMIFS(tblData[Cash-out refi loans],tblData[State code],$I$7,tblData[Year],$H10)</f>
        <v>29044</v>
      </c>
      <c r="L10" s="16">
        <f>SUMIFS(tblData[Total dollar volume],tblData[State code],$I$7,tblData[Year],$H10)/SUMIFS(tblData[Total loans],tblData[State code],$I$7,tblData[Year],$H10)</f>
        <v>305832.68</v>
      </c>
      <c r="M10" s="17">
        <f>SUMIFS(tblData[Q4 HPI YoY change],tblData[State code],$I$7,tblData[Year],$H10)</f>
        <v>0.044427</v>
      </c>
      <c r="N10" s="17">
        <v>0.05439244663382614</v>
      </c>
      <c r="P10" t="s">
        <v>157</v>
      </c>
      <c r="Q10" s="20">
        <v>232.89</v>
      </c>
      <c r="R10" s="20">
        <f>INDEX($S$10:$BQ$10,MATCH($I$7,$S$1:$BQ$1,0))</f>
        <v>234.11</v>
      </c>
      <c r="S10" s="20">
        <v>199.53</v>
      </c>
      <c r="T10" s="20">
        <v>249.63</v>
      </c>
      <c r="U10" s="20">
        <v>276.96</v>
      </c>
      <c r="V10" s="20">
        <v>203.13</v>
      </c>
      <c r="W10" s="20">
        <v>250.35</v>
      </c>
      <c r="X10" s="20">
        <v>394.22</v>
      </c>
      <c r="Y10" s="20">
        <v>163.32</v>
      </c>
      <c r="Z10" s="20">
        <v>190.17</v>
      </c>
      <c r="AA10" s="20">
        <v>473.6</v>
      </c>
      <c r="AB10" s="20">
        <v>267.95</v>
      </c>
      <c r="AC10" s="20">
        <v>210.14</v>
      </c>
      <c r="AD10" s="20">
        <v>223.46</v>
      </c>
      <c r="AE10" s="20">
        <v>272.82</v>
      </c>
      <c r="AF10" s="20">
        <v>189.7</v>
      </c>
      <c r="AG10" s="20">
        <v>185.64</v>
      </c>
      <c r="AH10" s="20">
        <v>227.74</v>
      </c>
      <c r="AI10" s="20">
        <v>221.3</v>
      </c>
      <c r="AJ10" s="20">
        <v>216.71</v>
      </c>
      <c r="AK10" s="20">
        <v>263.99</v>
      </c>
      <c r="AL10" s="20">
        <v>224.33</v>
      </c>
      <c r="AM10" s="20">
        <v>232.11</v>
      </c>
      <c r="AN10" s="20">
        <v>255.63</v>
      </c>
      <c r="AO10" s="20">
        <v>198.77</v>
      </c>
      <c r="AP10" s="20">
        <v>256.57</v>
      </c>
      <c r="AQ10" s="20">
        <v>194.4</v>
      </c>
      <c r="AR10" s="20">
        <v>211.76</v>
      </c>
      <c r="AS10" s="20">
        <v>356.56</v>
      </c>
      <c r="AT10" s="20">
        <v>236.19</v>
      </c>
      <c r="AU10" s="20">
        <v>214.39</v>
      </c>
      <c r="AV10" s="20">
        <v>229.62</v>
      </c>
      <c r="AW10" s="20">
        <v>217.59</v>
      </c>
      <c r="AX10" s="20">
        <v>225.51</v>
      </c>
      <c r="AY10" s="20">
        <v>218.63</v>
      </c>
      <c r="AZ10" s="20">
        <v>211.26</v>
      </c>
      <c r="BA10" s="20">
        <v>299.3</v>
      </c>
      <c r="BB10" s="20">
        <v>178.99</v>
      </c>
      <c r="BC10" s="20">
        <v>223.13</v>
      </c>
      <c r="BD10" s="20">
        <v>374.99</v>
      </c>
      <c r="BE10" s="20">
        <v>204.61</v>
      </c>
      <c r="BF10" s="20">
        <v>206.64</v>
      </c>
      <c r="BG10" s="20">
        <v>215.3</v>
      </c>
      <c r="BH10" s="20">
        <v>269.71</v>
      </c>
      <c r="BI10" s="20">
        <v>230.42</v>
      </c>
      <c r="BJ10" s="20">
        <v>257.39</v>
      </c>
      <c r="BK10" s="20">
        <v>347.8</v>
      </c>
      <c r="BL10" s="20">
        <v>224.82</v>
      </c>
      <c r="BM10" s="20">
        <v>234.11</v>
      </c>
      <c r="BN10" s="20">
        <v>307.33</v>
      </c>
      <c r="BO10" s="20">
        <v>201.58</v>
      </c>
      <c r="BP10" s="20">
        <v>231.7</v>
      </c>
      <c r="BQ10" s="20">
        <v>318.99</v>
      </c>
    </row>
    <row r="11" spans="1:69">
      <c r="A11" t="s">
        <v>42</v>
      </c>
      <c r="B11" t="s">
        <v>43</v>
      </c>
      <c r="C11" t="s">
        <v>17</v>
      </c>
      <c r="D11" s="17">
        <v>0.009140433622170985</v>
      </c>
      <c r="E11" s="17">
        <v>0.6969931804091756</v>
      </c>
      <c r="F11" s="20">
        <v>547.45</v>
      </c>
      <c r="H11">
        <v>2019</v>
      </c>
      <c r="I11" s="15">
        <f>SUMIFS(tblData[Purchase loans],tblData[State code],$I$7,tblData[Year],$H11)</f>
        <v>134404</v>
      </c>
      <c r="J11" s="15">
        <f>SUMIFS(tblData[Refinance loans],tblData[State code],$I$7,tblData[Year],$H11)</f>
        <v>68456</v>
      </c>
      <c r="K11" s="15">
        <f>SUMIFS(tblData[Cash-out refi loans],tblData[State code],$I$7,tblData[Year],$H11)</f>
        <v>37247</v>
      </c>
      <c r="L11" s="16">
        <f>SUMIFS(tblData[Total dollar volume],tblData[State code],$I$7,tblData[Year],$H11)/SUMIFS(tblData[Total loans],tblData[State code],$I$7,tblData[Year],$H11)</f>
        <v>333847.06</v>
      </c>
      <c r="M11" s="17">
        <f>SUMIFS(tblData[Q4 HPI YoY change],tblData[State code],$I$7,tblData[Year],$H11)</f>
        <v>0.053181</v>
      </c>
      <c r="N11" s="17">
        <v>0.05438972162740896</v>
      </c>
      <c r="P11" t="s">
        <v>158</v>
      </c>
      <c r="Q11" s="20">
        <v>236.86</v>
      </c>
      <c r="R11" s="20">
        <f>INDEX($S$11:$BQ$11,MATCH($I$7,$S$1:$BQ$1,0))</f>
        <v>237.65</v>
      </c>
      <c r="S11" s="20">
        <v>201.77</v>
      </c>
      <c r="T11" s="20">
        <v>247.25</v>
      </c>
      <c r="U11" s="20">
        <v>282.99</v>
      </c>
      <c r="V11" s="20">
        <v>203.27</v>
      </c>
      <c r="W11" s="20">
        <v>255.41</v>
      </c>
      <c r="X11" s="20">
        <v>404.33</v>
      </c>
      <c r="Y11" s="20">
        <v>164.42</v>
      </c>
      <c r="Z11" s="20">
        <v>191.47</v>
      </c>
      <c r="AA11" s="20">
        <v>475</v>
      </c>
      <c r="AB11" s="20">
        <v>273.66</v>
      </c>
      <c r="AC11" s="20">
        <v>214.03</v>
      </c>
      <c r="AD11" s="20">
        <v>237.06</v>
      </c>
      <c r="AE11" s="20">
        <v>278.65</v>
      </c>
      <c r="AF11" s="20">
        <v>189.16</v>
      </c>
      <c r="AG11" s="20">
        <v>187.92</v>
      </c>
      <c r="AH11" s="20">
        <v>229.46</v>
      </c>
      <c r="AI11" s="20">
        <v>225.12</v>
      </c>
      <c r="AJ11" s="20">
        <v>220.76</v>
      </c>
      <c r="AK11" s="20">
        <v>266.72</v>
      </c>
      <c r="AL11" s="20">
        <v>227.89</v>
      </c>
      <c r="AM11" s="20">
        <v>234.56</v>
      </c>
      <c r="AN11" s="20">
        <v>261.63</v>
      </c>
      <c r="AO11" s="20">
        <v>202.45</v>
      </c>
      <c r="AP11" s="20">
        <v>260.36</v>
      </c>
      <c r="AQ11" s="20">
        <v>195.51</v>
      </c>
      <c r="AR11" s="20">
        <v>216.81</v>
      </c>
      <c r="AS11" s="20">
        <v>362.08</v>
      </c>
      <c r="AT11" s="20">
        <v>240.63</v>
      </c>
      <c r="AU11" s="20">
        <v>218.04</v>
      </c>
      <c r="AV11" s="20">
        <v>229.29</v>
      </c>
      <c r="AW11" s="20">
        <v>221.12</v>
      </c>
      <c r="AX11" s="20">
        <v>226.64</v>
      </c>
      <c r="AY11" s="20">
        <v>221.3</v>
      </c>
      <c r="AZ11" s="20">
        <v>217.4</v>
      </c>
      <c r="BA11" s="20">
        <v>303.29</v>
      </c>
      <c r="BB11" s="20">
        <v>181.57</v>
      </c>
      <c r="BC11" s="20">
        <v>225.14</v>
      </c>
      <c r="BD11" s="20">
        <v>384.17</v>
      </c>
      <c r="BE11" s="20">
        <v>207.14</v>
      </c>
      <c r="BF11" s="20">
        <v>211.1</v>
      </c>
      <c r="BG11" s="20">
        <v>218.06</v>
      </c>
      <c r="BH11" s="20">
        <v>275.81</v>
      </c>
      <c r="BI11" s="20">
        <v>235.43</v>
      </c>
      <c r="BJ11" s="20">
        <v>263.49</v>
      </c>
      <c r="BK11" s="20">
        <v>356.53</v>
      </c>
      <c r="BL11" s="20">
        <v>217.73</v>
      </c>
      <c r="BM11" s="20">
        <v>237.65</v>
      </c>
      <c r="BN11" s="20">
        <v>316.59</v>
      </c>
      <c r="BO11" s="20">
        <v>203.57</v>
      </c>
      <c r="BP11" s="20">
        <v>235.64</v>
      </c>
      <c r="BQ11" s="20">
        <v>321.79</v>
      </c>
    </row>
    <row r="12" spans="1:69">
      <c r="A12" t="s">
        <v>44</v>
      </c>
      <c r="B12" t="s">
        <v>45</v>
      </c>
      <c r="C12" t="s">
        <v>17</v>
      </c>
      <c r="D12" s="17">
        <v>0.01833013208128809</v>
      </c>
      <c r="E12" s="17">
        <v>0.684314656536879</v>
      </c>
      <c r="F12" s="20">
        <v>425.66</v>
      </c>
      <c r="H12">
        <v>2020</v>
      </c>
      <c r="I12" s="15">
        <f>SUMIFS(tblData[Purchase loans],tblData[State code],$I$7,tblData[Year],$H12)</f>
        <v>148659</v>
      </c>
      <c r="J12" s="15">
        <f>SUMIFS(tblData[Refinance loans],tblData[State code],$I$7,tblData[Year],$H12)</f>
        <v>244471</v>
      </c>
      <c r="K12" s="15">
        <f>SUMIFS(tblData[Cash-out refi loans],tblData[State code],$I$7,tblData[Year],$H12)</f>
        <v>56034</v>
      </c>
      <c r="L12" s="16">
        <f>SUMIFS(tblData[Total dollar volume],tblData[State code],$I$7,tblData[Year],$H12)/SUMIFS(tblData[Total loans],tblData[State code],$I$7,tblData[Year],$H12)</f>
        <v>341921.06</v>
      </c>
      <c r="M12" s="17">
        <f>SUMIFS(tblData[Q4 HPI YoY change],tblData[State code],$I$7,tblData[Year],$H12)</f>
        <v>0.105291</v>
      </c>
      <c r="N12" s="17">
        <v>0.1103315855549811</v>
      </c>
      <c r="P12" t="s">
        <v>159</v>
      </c>
      <c r="Q12" s="20">
        <v>240.44</v>
      </c>
      <c r="R12" s="20">
        <f>INDEX($S$12:$BQ$12,MATCH($I$7,$S$1:$BQ$1,0))</f>
        <v>240.19</v>
      </c>
      <c r="S12" s="20">
        <v>204.15</v>
      </c>
      <c r="T12" s="20">
        <v>250.81</v>
      </c>
      <c r="U12" s="20">
        <v>288.75</v>
      </c>
      <c r="V12" s="20">
        <v>206.26</v>
      </c>
      <c r="W12" s="20">
        <v>260.77</v>
      </c>
      <c r="X12" s="20">
        <v>410.97</v>
      </c>
      <c r="Y12" s="20">
        <v>166.15</v>
      </c>
      <c r="Z12" s="20">
        <v>194.27</v>
      </c>
      <c r="AA12" s="20">
        <v>487.2</v>
      </c>
      <c r="AB12" s="20">
        <v>278.26</v>
      </c>
      <c r="AC12" s="20">
        <v>216.93</v>
      </c>
      <c r="AD12" s="20">
        <v>247.11</v>
      </c>
      <c r="AE12" s="20">
        <v>284.29</v>
      </c>
      <c r="AF12" s="20">
        <v>191.2</v>
      </c>
      <c r="AG12" s="20">
        <v>190.71</v>
      </c>
      <c r="AH12" s="20">
        <v>231.63</v>
      </c>
      <c r="AI12" s="20">
        <v>227.05</v>
      </c>
      <c r="AJ12" s="20">
        <v>223.76</v>
      </c>
      <c r="AK12" s="20">
        <v>268.42</v>
      </c>
      <c r="AL12" s="20">
        <v>232.62</v>
      </c>
      <c r="AM12" s="20">
        <v>237.66</v>
      </c>
      <c r="AN12" s="20">
        <v>265.42</v>
      </c>
      <c r="AO12" s="20">
        <v>205.92</v>
      </c>
      <c r="AP12" s="20">
        <v>263.63</v>
      </c>
      <c r="AQ12" s="20">
        <v>198.88</v>
      </c>
      <c r="AR12" s="20">
        <v>218.37</v>
      </c>
      <c r="AS12" s="20">
        <v>367.42</v>
      </c>
      <c r="AT12" s="20">
        <v>242.68</v>
      </c>
      <c r="AU12" s="20">
        <v>225.9</v>
      </c>
      <c r="AV12" s="20">
        <v>233.13</v>
      </c>
      <c r="AW12" s="20">
        <v>224.81</v>
      </c>
      <c r="AX12" s="20">
        <v>229.23</v>
      </c>
      <c r="AY12" s="20">
        <v>225.71</v>
      </c>
      <c r="AZ12" s="20">
        <v>219.79</v>
      </c>
      <c r="BA12" s="20">
        <v>304.79</v>
      </c>
      <c r="BB12" s="20">
        <v>184.26</v>
      </c>
      <c r="BC12" s="20">
        <v>227.73</v>
      </c>
      <c r="BD12" s="20">
        <v>390.38</v>
      </c>
      <c r="BE12" s="20">
        <v>209.64</v>
      </c>
      <c r="BF12" s="20">
        <v>211.84</v>
      </c>
      <c r="BG12" s="20">
        <v>222.95</v>
      </c>
      <c r="BH12" s="20">
        <v>277.65</v>
      </c>
      <c r="BI12" s="20">
        <v>239.28</v>
      </c>
      <c r="BJ12" s="20">
        <v>266.6</v>
      </c>
      <c r="BK12" s="20">
        <v>365.83</v>
      </c>
      <c r="BL12" s="20">
        <v>218.72</v>
      </c>
      <c r="BM12" s="20">
        <v>240.19</v>
      </c>
      <c r="BN12" s="20">
        <v>324.08</v>
      </c>
      <c r="BO12" s="20">
        <v>203.41</v>
      </c>
      <c r="BP12" s="20">
        <v>238.95</v>
      </c>
      <c r="BQ12" s="20">
        <v>323.65</v>
      </c>
    </row>
    <row r="13" spans="1:69">
      <c r="A13" t="s">
        <v>46</v>
      </c>
      <c r="B13" t="s">
        <v>47</v>
      </c>
      <c r="C13" t="s">
        <v>21</v>
      </c>
      <c r="D13" s="17">
        <v>0.05934955288005206</v>
      </c>
      <c r="E13" s="17">
        <v>0.6034738886984345</v>
      </c>
      <c r="F13" s="20">
        <v>420.96</v>
      </c>
      <c r="H13">
        <v>2021</v>
      </c>
      <c r="I13" s="15">
        <f>SUMIFS(tblData[Purchase loans],tblData[State code],$I$7,tblData[Year],$H13)</f>
        <v>167028</v>
      </c>
      <c r="J13" s="15">
        <f>SUMIFS(tblData[Refinance loans],tblData[State code],$I$7,tblData[Year],$H13)</f>
        <v>198915</v>
      </c>
      <c r="K13" s="15">
        <f>SUMIFS(tblData[Cash-out refi loans],tblData[State code],$I$7,tblData[Year],$H13)</f>
        <v>81112</v>
      </c>
      <c r="L13" s="16">
        <f>SUMIFS(tblData[Total dollar volume],tblData[State code],$I$7,tblData[Year],$H13)/SUMIFS(tblData[Total loans],tblData[State code],$I$7,tblData[Year],$H13)</f>
        <v>346832.28</v>
      </c>
      <c r="M13" s="17">
        <f>SUMIFS(tblData[Q4 HPI YoY change],tblData[State code],$I$7,tblData[Year],$H13)</f>
        <v>0.13443</v>
      </c>
      <c r="N13" s="17">
        <v>0.1731293648154306</v>
      </c>
      <c r="P13" t="s">
        <v>160</v>
      </c>
      <c r="Q13" s="20">
        <v>244.09</v>
      </c>
      <c r="R13" s="20">
        <f>INDEX($S$13:$BQ$13,MATCH($I$7,$S$1:$BQ$1,0))</f>
        <v>242.07</v>
      </c>
      <c r="S13" s="20">
        <v>207.59</v>
      </c>
      <c r="T13" s="20">
        <v>251.15</v>
      </c>
      <c r="U13" s="20">
        <v>293.03</v>
      </c>
      <c r="V13" s="20">
        <v>210.24</v>
      </c>
      <c r="W13" s="20">
        <v>265.39</v>
      </c>
      <c r="X13" s="20">
        <v>421.59</v>
      </c>
      <c r="Y13" s="20">
        <v>166.34</v>
      </c>
      <c r="Z13" s="20">
        <v>194.48</v>
      </c>
      <c r="AA13" s="20">
        <v>499.69</v>
      </c>
      <c r="AB13" s="20">
        <v>283.85</v>
      </c>
      <c r="AC13" s="20">
        <v>220.71</v>
      </c>
      <c r="AD13" s="20">
        <v>246.64</v>
      </c>
      <c r="AE13" s="20">
        <v>295.92</v>
      </c>
      <c r="AF13" s="20">
        <v>192.92</v>
      </c>
      <c r="AG13" s="20">
        <v>195.31</v>
      </c>
      <c r="AH13" s="20">
        <v>234.32</v>
      </c>
      <c r="AI13" s="20">
        <v>229.43</v>
      </c>
      <c r="AJ13" s="20">
        <v>226.2</v>
      </c>
      <c r="AK13" s="20">
        <v>270.31</v>
      </c>
      <c r="AL13" s="20">
        <v>234.03</v>
      </c>
      <c r="AM13" s="20">
        <v>240.54</v>
      </c>
      <c r="AN13" s="20">
        <v>268.79</v>
      </c>
      <c r="AO13" s="20">
        <v>209.67</v>
      </c>
      <c r="AP13" s="20">
        <v>267.75</v>
      </c>
      <c r="AQ13" s="20">
        <v>194.08</v>
      </c>
      <c r="AR13" s="20">
        <v>221.14</v>
      </c>
      <c r="AS13" s="20">
        <v>372.44</v>
      </c>
      <c r="AT13" s="20">
        <v>249.18</v>
      </c>
      <c r="AU13" s="20">
        <v>236.98</v>
      </c>
      <c r="AV13" s="20">
        <v>237.69</v>
      </c>
      <c r="AW13" s="20">
        <v>225.07</v>
      </c>
      <c r="AX13" s="20">
        <v>233.34</v>
      </c>
      <c r="AY13" s="20">
        <v>228.11</v>
      </c>
      <c r="AZ13" s="20">
        <v>223.83</v>
      </c>
      <c r="BA13" s="20">
        <v>302.13</v>
      </c>
      <c r="BB13" s="20">
        <v>186.98</v>
      </c>
      <c r="BC13" s="20">
        <v>228.8</v>
      </c>
      <c r="BD13" s="20">
        <v>395.83</v>
      </c>
      <c r="BE13" s="20">
        <v>212.32</v>
      </c>
      <c r="BF13" s="20">
        <v>216.25</v>
      </c>
      <c r="BG13" s="20">
        <v>226.27</v>
      </c>
      <c r="BH13" s="20">
        <v>280.08</v>
      </c>
      <c r="BI13" s="20">
        <v>244.55</v>
      </c>
      <c r="BJ13" s="20">
        <v>271.17</v>
      </c>
      <c r="BK13" s="20">
        <v>374.21</v>
      </c>
      <c r="BL13" s="20">
        <v>228.2</v>
      </c>
      <c r="BM13" s="20">
        <v>242.07</v>
      </c>
      <c r="BN13" s="20">
        <v>333</v>
      </c>
      <c r="BO13" s="20">
        <v>204.91</v>
      </c>
      <c r="BP13" s="20">
        <v>240.91</v>
      </c>
      <c r="BQ13" s="20">
        <v>326</v>
      </c>
    </row>
    <row r="14" spans="1:69">
      <c r="A14" t="s">
        <v>48</v>
      </c>
      <c r="B14" t="s">
        <v>49</v>
      </c>
      <c r="C14" t="s">
        <v>21</v>
      </c>
      <c r="D14" s="17">
        <v>0.03479243763838769</v>
      </c>
      <c r="E14" s="17">
        <v>0.7422192691029901</v>
      </c>
      <c r="F14" s="20">
        <v>655.51</v>
      </c>
      <c r="H14">
        <v>2022</v>
      </c>
      <c r="I14" s="15">
        <f>SUMIFS(tblData[Purchase loans],tblData[State code],$I$7,tblData[Year],$H14)</f>
        <v>130317</v>
      </c>
      <c r="J14" s="15">
        <f>SUMIFS(tblData[Refinance loans],tblData[State code],$I$7,tblData[Year],$H14)</f>
        <v>27413</v>
      </c>
      <c r="K14" s="15">
        <f>SUMIFS(tblData[Cash-out refi loans],tblData[State code],$I$7,tblData[Year],$H14)</f>
        <v>41261</v>
      </c>
      <c r="L14" s="16">
        <f>SUMIFS(tblData[Total dollar volume],tblData[State code],$I$7,tblData[Year],$H14)/SUMIFS(tblData[Total loans],tblData[State code],$I$7,tblData[Year],$H14)</f>
        <v>375552.39</v>
      </c>
      <c r="M14" s="17">
        <f>SUMIFS(tblData[Q4 HPI YoY change],tblData[State code],$I$7,tblData[Year],$H14)</f>
        <v>0.082709</v>
      </c>
      <c r="N14" s="17">
        <v>0.07619911554598024</v>
      </c>
      <c r="P14" t="s">
        <v>161</v>
      </c>
      <c r="Q14" s="20">
        <v>248.57</v>
      </c>
      <c r="R14" s="20">
        <f>INDEX($S$14:$BQ$14,MATCH($I$7,$S$1:$BQ$1,0))</f>
        <v>247.09</v>
      </c>
      <c r="S14" s="20">
        <v>209.46</v>
      </c>
      <c r="T14" s="20">
        <v>254.86</v>
      </c>
      <c r="U14" s="20">
        <v>301.55</v>
      </c>
      <c r="V14" s="20">
        <v>211.34</v>
      </c>
      <c r="W14" s="20">
        <v>270.78</v>
      </c>
      <c r="X14" s="20">
        <v>434.58</v>
      </c>
      <c r="Y14" s="20">
        <v>167.4</v>
      </c>
      <c r="Z14" s="20">
        <v>203.7</v>
      </c>
      <c r="AA14" s="20">
        <v>510.69</v>
      </c>
      <c r="AB14" s="20">
        <v>289.55</v>
      </c>
      <c r="AC14" s="20">
        <v>226.19</v>
      </c>
      <c r="AD14" s="20">
        <v>241.5</v>
      </c>
      <c r="AE14" s="20">
        <v>303.2</v>
      </c>
      <c r="AF14" s="20">
        <v>194.88</v>
      </c>
      <c r="AG14" s="20">
        <v>199.1</v>
      </c>
      <c r="AH14" s="20">
        <v>236.78</v>
      </c>
      <c r="AI14" s="20">
        <v>234.12</v>
      </c>
      <c r="AJ14" s="20">
        <v>229.55</v>
      </c>
      <c r="AK14" s="20">
        <v>272.06</v>
      </c>
      <c r="AL14" s="20">
        <v>238.85</v>
      </c>
      <c r="AM14" s="20">
        <v>242.38</v>
      </c>
      <c r="AN14" s="20">
        <v>272.94</v>
      </c>
      <c r="AO14" s="20">
        <v>214.51</v>
      </c>
      <c r="AP14" s="20">
        <v>273.12</v>
      </c>
      <c r="AQ14" s="20">
        <v>200.5</v>
      </c>
      <c r="AR14" s="20">
        <v>226.14</v>
      </c>
      <c r="AS14" s="20">
        <v>378.98</v>
      </c>
      <c r="AT14" s="20">
        <v>253.7</v>
      </c>
      <c r="AU14" s="20">
        <v>242.67</v>
      </c>
      <c r="AV14" s="20">
        <v>240.1</v>
      </c>
      <c r="AW14" s="20">
        <v>229.68</v>
      </c>
      <c r="AX14" s="20">
        <v>233.76</v>
      </c>
      <c r="AY14" s="20">
        <v>232.56</v>
      </c>
      <c r="AZ14" s="20">
        <v>228.12</v>
      </c>
      <c r="BA14" s="20">
        <v>304.93</v>
      </c>
      <c r="BB14" s="20">
        <v>190.44</v>
      </c>
      <c r="BC14" s="20">
        <v>228.49</v>
      </c>
      <c r="BD14" s="20">
        <v>407.16</v>
      </c>
      <c r="BE14" s="20">
        <v>215.47</v>
      </c>
      <c r="BF14" s="20">
        <v>221.31</v>
      </c>
      <c r="BG14" s="20">
        <v>230.12</v>
      </c>
      <c r="BH14" s="20">
        <v>285.6</v>
      </c>
      <c r="BI14" s="20">
        <v>248.15</v>
      </c>
      <c r="BJ14" s="20">
        <v>275.5</v>
      </c>
      <c r="BK14" s="20">
        <v>384.56</v>
      </c>
      <c r="BL14" s="20">
        <v>224.29</v>
      </c>
      <c r="BM14" s="20">
        <v>247.09</v>
      </c>
      <c r="BN14" s="20">
        <v>343.1</v>
      </c>
      <c r="BO14" s="20">
        <v>206.65</v>
      </c>
      <c r="BP14" s="20">
        <v>246.98</v>
      </c>
      <c r="BQ14" s="20">
        <v>329.44</v>
      </c>
    </row>
    <row r="15" spans="1:69">
      <c r="A15" t="s">
        <v>50</v>
      </c>
      <c r="B15" t="s">
        <v>51</v>
      </c>
      <c r="C15" t="s">
        <v>52</v>
      </c>
      <c r="D15" s="17">
        <v>0.05542460145152295</v>
      </c>
      <c r="E15" s="17">
        <v>0.6444378872823842</v>
      </c>
      <c r="F15" s="20">
        <v>334.38</v>
      </c>
      <c r="H15">
        <v>2023</v>
      </c>
      <c r="I15" s="15">
        <f>SUMIFS(tblData[Purchase loans],tblData[State code],$I$7,tblData[Year],$H15)</f>
        <v>97993</v>
      </c>
      <c r="J15" s="15">
        <f>SUMIFS(tblData[Refinance loans],tblData[State code],$I$7,tblData[Year],$H15)</f>
        <v>10567</v>
      </c>
      <c r="K15" s="15">
        <f>SUMIFS(tblData[Cash-out refi loans],tblData[State code],$I$7,tblData[Year],$H15)</f>
        <v>17941</v>
      </c>
      <c r="L15" s="16">
        <f>SUMIFS(tblData[Total dollar volume],tblData[State code],$I$7,tblData[Year],$H15)/SUMIFS(tblData[Total loans],tblData[State code],$I$7,tblData[Year],$H15)</f>
        <v>380744.38</v>
      </c>
      <c r="M15" s="17">
        <f>SUMIFS(tblData[Q4 HPI YoY change],tblData[State code],$I$7,tblData[Year],$H15)</f>
        <v>0.071558</v>
      </c>
      <c r="N15" s="17">
        <v>0.06126857022442311</v>
      </c>
      <c r="P15" t="s">
        <v>162</v>
      </c>
      <c r="Q15" s="20">
        <v>251.42</v>
      </c>
      <c r="R15" s="20">
        <f>INDEX($S$15:$BQ$15,MATCH($I$7,$S$1:$BQ$1,0))</f>
        <v>247.58</v>
      </c>
      <c r="S15" s="20">
        <v>212.97</v>
      </c>
      <c r="T15" s="20">
        <v>253.45</v>
      </c>
      <c r="U15" s="20">
        <v>305.56</v>
      </c>
      <c r="V15" s="20">
        <v>213.02</v>
      </c>
      <c r="W15" s="20">
        <v>272.88</v>
      </c>
      <c r="X15" s="20">
        <v>439.46</v>
      </c>
      <c r="Y15" s="20">
        <v>167.79</v>
      </c>
      <c r="Z15" s="20">
        <v>202.88</v>
      </c>
      <c r="AA15" s="20">
        <v>516.88</v>
      </c>
      <c r="AB15" s="20">
        <v>295.29</v>
      </c>
      <c r="AC15" s="20">
        <v>230.32</v>
      </c>
      <c r="AD15" s="20">
        <v>246.53</v>
      </c>
      <c r="AE15" s="20">
        <v>313.81</v>
      </c>
      <c r="AF15" s="20">
        <v>195.82</v>
      </c>
      <c r="AG15" s="20">
        <v>202.4</v>
      </c>
      <c r="AH15" s="20">
        <v>240.62</v>
      </c>
      <c r="AI15" s="20">
        <v>236.17</v>
      </c>
      <c r="AJ15" s="20">
        <v>230.64</v>
      </c>
      <c r="AK15" s="20">
        <v>271.96</v>
      </c>
      <c r="AL15" s="20">
        <v>243.09</v>
      </c>
      <c r="AM15" s="20">
        <v>242.68</v>
      </c>
      <c r="AN15" s="20">
        <v>277.02</v>
      </c>
      <c r="AO15" s="20">
        <v>217.52</v>
      </c>
      <c r="AP15" s="20">
        <v>276.41</v>
      </c>
      <c r="AQ15" s="20">
        <v>202.42</v>
      </c>
      <c r="AR15" s="20">
        <v>227.65</v>
      </c>
      <c r="AS15" s="20">
        <v>381.77</v>
      </c>
      <c r="AT15" s="20">
        <v>255.44</v>
      </c>
      <c r="AU15" s="20">
        <v>252.63</v>
      </c>
      <c r="AV15" s="20">
        <v>242.74</v>
      </c>
      <c r="AW15" s="20">
        <v>230.19</v>
      </c>
      <c r="AX15" s="20">
        <v>235.94</v>
      </c>
      <c r="AY15" s="20">
        <v>234.37</v>
      </c>
      <c r="AZ15" s="20">
        <v>231.52</v>
      </c>
      <c r="BA15" s="20">
        <v>306.44</v>
      </c>
      <c r="BB15" s="20">
        <v>192.36</v>
      </c>
      <c r="BC15" s="20">
        <v>231.66</v>
      </c>
      <c r="BD15" s="20">
        <v>410.79</v>
      </c>
      <c r="BE15" s="20">
        <v>217.32</v>
      </c>
      <c r="BF15" s="20">
        <v>225.68</v>
      </c>
      <c r="BG15" s="20">
        <v>234.27</v>
      </c>
      <c r="BH15" s="20">
        <v>288.47</v>
      </c>
      <c r="BI15" s="20">
        <v>251.52</v>
      </c>
      <c r="BJ15" s="20">
        <v>278.5</v>
      </c>
      <c r="BK15" s="20">
        <v>393.82</v>
      </c>
      <c r="BL15" s="20">
        <v>226.4</v>
      </c>
      <c r="BM15" s="20">
        <v>247.58</v>
      </c>
      <c r="BN15" s="20">
        <v>349.5</v>
      </c>
      <c r="BO15" s="20">
        <v>207.9</v>
      </c>
      <c r="BP15" s="20">
        <v>251.07</v>
      </c>
      <c r="BQ15" s="20">
        <v>332.11</v>
      </c>
    </row>
    <row r="16" spans="1:69">
      <c r="A16" t="s">
        <v>54</v>
      </c>
      <c r="B16" t="s">
        <v>55</v>
      </c>
      <c r="C16" t="s">
        <v>52</v>
      </c>
      <c r="D16" s="17">
        <v>0.03452419971594001</v>
      </c>
      <c r="E16" s="17">
        <v>0.6789563499191664</v>
      </c>
      <c r="F16" s="20">
        <v>373.87</v>
      </c>
      <c r="H16">
        <v>2024</v>
      </c>
      <c r="I16" s="15">
        <f>SUMIFS(tblData[Purchase loans],tblData[State code],$I$7,tblData[Year],$H16)</f>
        <v>102212</v>
      </c>
      <c r="J16" s="15">
        <f>SUMIFS(tblData[Refinance loans],tblData[State code],$I$7,tblData[Year],$H16)</f>
        <v>20878</v>
      </c>
      <c r="K16" s="15">
        <f>SUMIFS(tblData[Cash-out refi loans],tblData[State code],$I$7,tblData[Year],$H16)</f>
        <v>22530</v>
      </c>
      <c r="L16" s="16">
        <f>SUMIFS(tblData[Total dollar volume],tblData[State code],$I$7,tblData[Year],$H16)/SUMIFS(tblData[Total loans],tblData[State code],$I$7,tblData[Year],$H16)</f>
        <v>407876.8</v>
      </c>
      <c r="M16" s="17">
        <f>SUMIFS(tblData[Q4 HPI YoY change],tblData[State code],$I$7,tblData[Year],$H16)</f>
        <v>0.058691</v>
      </c>
      <c r="N16" s="17">
        <v>0.04609084139985131</v>
      </c>
      <c r="P16" t="s">
        <v>163</v>
      </c>
      <c r="Q16" s="20">
        <v>254.62</v>
      </c>
      <c r="R16" s="20">
        <f>INDEX($S$16:$BQ$16,MATCH($I$7,$S$1:$BQ$1,0))</f>
        <v>250.35</v>
      </c>
      <c r="S16" s="20">
        <v>215.26</v>
      </c>
      <c r="T16" s="20">
        <v>253.54</v>
      </c>
      <c r="U16" s="20">
        <v>310.53</v>
      </c>
      <c r="V16" s="20">
        <v>214.49</v>
      </c>
      <c r="W16" s="20">
        <v>276.36</v>
      </c>
      <c r="X16" s="20">
        <v>445.57</v>
      </c>
      <c r="Y16" s="20">
        <v>169.15</v>
      </c>
      <c r="Z16" s="20">
        <v>202.25</v>
      </c>
      <c r="AA16" s="20">
        <v>499.42</v>
      </c>
      <c r="AB16" s="20">
        <v>299.94</v>
      </c>
      <c r="AC16" s="20">
        <v>234.96</v>
      </c>
      <c r="AD16" s="20">
        <v>249.17</v>
      </c>
      <c r="AE16" s="20">
        <v>324.74</v>
      </c>
      <c r="AF16" s="20">
        <v>196.85</v>
      </c>
      <c r="AG16" s="20">
        <v>205.02</v>
      </c>
      <c r="AH16" s="20">
        <v>242.23</v>
      </c>
      <c r="AI16" s="20">
        <v>237.21</v>
      </c>
      <c r="AJ16" s="20">
        <v>233.1</v>
      </c>
      <c r="AK16" s="20">
        <v>273.08</v>
      </c>
      <c r="AL16" s="20">
        <v>246.17</v>
      </c>
      <c r="AM16" s="20">
        <v>244.03</v>
      </c>
      <c r="AN16" s="20">
        <v>279.81</v>
      </c>
      <c r="AO16" s="20">
        <v>220.77</v>
      </c>
      <c r="AP16" s="20">
        <v>280.4</v>
      </c>
      <c r="AQ16" s="20">
        <v>202.36</v>
      </c>
      <c r="AR16" s="20">
        <v>231.64</v>
      </c>
      <c r="AS16" s="20">
        <v>389.44</v>
      </c>
      <c r="AT16" s="20">
        <v>259.14</v>
      </c>
      <c r="AU16" s="20">
        <v>257.41</v>
      </c>
      <c r="AV16" s="20">
        <v>246.49</v>
      </c>
      <c r="AW16" s="20">
        <v>231.55</v>
      </c>
      <c r="AX16" s="20">
        <v>239.59</v>
      </c>
      <c r="AY16" s="20">
        <v>237.52</v>
      </c>
      <c r="AZ16" s="20">
        <v>234.96</v>
      </c>
      <c r="BA16" s="20">
        <v>306.47</v>
      </c>
      <c r="BB16" s="20">
        <v>195.56</v>
      </c>
      <c r="BC16" s="20">
        <v>233.94</v>
      </c>
      <c r="BD16" s="20">
        <v>415.71</v>
      </c>
      <c r="BE16" s="20">
        <v>219.34</v>
      </c>
      <c r="BF16" s="20">
        <v>229.22</v>
      </c>
      <c r="BG16" s="20">
        <v>237.27</v>
      </c>
      <c r="BH16" s="20">
        <v>295.17</v>
      </c>
      <c r="BI16" s="20">
        <v>257.03</v>
      </c>
      <c r="BJ16" s="20">
        <v>281.67</v>
      </c>
      <c r="BK16" s="20">
        <v>400.62</v>
      </c>
      <c r="BL16" s="20">
        <v>229.26</v>
      </c>
      <c r="BM16" s="20">
        <v>250.35</v>
      </c>
      <c r="BN16" s="20">
        <v>355.49</v>
      </c>
      <c r="BO16" s="20">
        <v>209.37</v>
      </c>
      <c r="BP16" s="20">
        <v>254.64</v>
      </c>
      <c r="BQ16" s="20">
        <v>334.45</v>
      </c>
    </row>
    <row r="17" spans="1:69">
      <c r="A17" t="s">
        <v>56</v>
      </c>
      <c r="B17" t="s">
        <v>57</v>
      </c>
      <c r="C17" t="s">
        <v>52</v>
      </c>
      <c r="D17" s="17">
        <v>0.02252657183649731</v>
      </c>
      <c r="E17" s="17">
        <v>0.5105167076752124</v>
      </c>
      <c r="F17" s="20">
        <v>380.62</v>
      </c>
      <c r="H17">
        <v>2025</v>
      </c>
      <c r="I17" s="15">
        <f>SUMIFS(tblData[Purchase loans],tblData[State code],$I$7,tblData[Year],$H17)</f>
        <v>103337</v>
      </c>
      <c r="J17" s="15">
        <f>SUMIFS(tblData[Refinance loans],tblData[State code],$I$7,tblData[Year],$H17)</f>
        <v>31796</v>
      </c>
      <c r="K17" s="15">
        <f>SUMIFS(tblData[Cash-out refi loans],tblData[State code],$I$7,tblData[Year],$H17)</f>
        <v>28965</v>
      </c>
      <c r="L17" s="16">
        <f>SUMIFS(tblData[Total dollar volume],tblData[State code],$I$7,tblData[Year],$H17)/SUMIFS(tblData[Total loans],tblData[State code],$I$7,tblData[Year],$H17)</f>
        <v>437686.75</v>
      </c>
      <c r="M17" s="17">
        <f>SUMIFS(tblData[Q4 HPI YoY change],tblData[State code],$I$7,tblData[Year],$H17)</f>
        <v>0.037856</v>
      </c>
      <c r="N17" s="17">
        <v>0.02092675635276531</v>
      </c>
      <c r="P17" t="s">
        <v>164</v>
      </c>
      <c r="Q17" s="20">
        <v>257.39</v>
      </c>
      <c r="R17" s="20">
        <f>INDEX($S$17:$BQ$17,MATCH($I$7,$S$1:$BQ$1,0))</f>
        <v>252.98</v>
      </c>
      <c r="S17" s="20">
        <v>217.31</v>
      </c>
      <c r="T17" s="20">
        <v>254.71</v>
      </c>
      <c r="U17" s="20">
        <v>317.63</v>
      </c>
      <c r="V17" s="20">
        <v>217.09</v>
      </c>
      <c r="W17" s="20">
        <v>278.31</v>
      </c>
      <c r="X17" s="20">
        <v>450.3</v>
      </c>
      <c r="Y17" s="20">
        <v>170.18</v>
      </c>
      <c r="Z17" s="20">
        <v>201.98</v>
      </c>
      <c r="AA17" s="20">
        <v>529.7</v>
      </c>
      <c r="AB17" s="20">
        <v>303.71</v>
      </c>
      <c r="AC17" s="20">
        <v>237.13</v>
      </c>
      <c r="AD17" s="20">
        <v>252.83</v>
      </c>
      <c r="AE17" s="20">
        <v>332.35</v>
      </c>
      <c r="AF17" s="20">
        <v>197.34</v>
      </c>
      <c r="AG17" s="20">
        <v>207.79</v>
      </c>
      <c r="AH17" s="20">
        <v>244.43</v>
      </c>
      <c r="AI17" s="20">
        <v>241.9</v>
      </c>
      <c r="AJ17" s="20">
        <v>237.47</v>
      </c>
      <c r="AK17" s="20">
        <v>275.6</v>
      </c>
      <c r="AL17" s="20">
        <v>250.39</v>
      </c>
      <c r="AM17" s="20">
        <v>244.22</v>
      </c>
      <c r="AN17" s="20">
        <v>282.49</v>
      </c>
      <c r="AO17" s="20">
        <v>223.98</v>
      </c>
      <c r="AP17" s="20">
        <v>282.55</v>
      </c>
      <c r="AQ17" s="20">
        <v>205.46</v>
      </c>
      <c r="AR17" s="20">
        <v>234.63</v>
      </c>
      <c r="AS17" s="20">
        <v>389.51</v>
      </c>
      <c r="AT17" s="20">
        <v>262.49</v>
      </c>
      <c r="AU17" s="20">
        <v>260.99</v>
      </c>
      <c r="AV17" s="20">
        <v>251.01</v>
      </c>
      <c r="AW17" s="20">
        <v>232.89</v>
      </c>
      <c r="AX17" s="20">
        <v>243.06</v>
      </c>
      <c r="AY17" s="20">
        <v>238.66</v>
      </c>
      <c r="AZ17" s="20">
        <v>237.98</v>
      </c>
      <c r="BA17" s="20">
        <v>309.43</v>
      </c>
      <c r="BB17" s="20">
        <v>197.96</v>
      </c>
      <c r="BC17" s="20">
        <v>237.24</v>
      </c>
      <c r="BD17" s="20">
        <v>419.78</v>
      </c>
      <c r="BE17" s="20">
        <v>222</v>
      </c>
      <c r="BF17" s="20">
        <v>228.77</v>
      </c>
      <c r="BG17" s="20">
        <v>240.89</v>
      </c>
      <c r="BH17" s="20">
        <v>298.24</v>
      </c>
      <c r="BI17" s="20">
        <v>261.3</v>
      </c>
      <c r="BJ17" s="20">
        <v>285.03</v>
      </c>
      <c r="BK17" s="20">
        <v>409.87</v>
      </c>
      <c r="BL17" s="20">
        <v>233.66</v>
      </c>
      <c r="BM17" s="20">
        <v>252.98</v>
      </c>
      <c r="BN17" s="20">
        <v>358.86</v>
      </c>
      <c r="BO17" s="20">
        <v>205.22</v>
      </c>
      <c r="BP17" s="20">
        <v>257.95</v>
      </c>
      <c r="BQ17" s="20">
        <v>337.66</v>
      </c>
    </row>
    <row r="18" spans="1:69">
      <c r="A18" t="s">
        <v>59</v>
      </c>
      <c r="B18" t="s">
        <v>60</v>
      </c>
      <c r="C18" t="s">
        <v>52</v>
      </c>
      <c r="D18" s="17">
        <v>0.03214636542239702</v>
      </c>
      <c r="E18" s="17">
        <v>0.6307589671140414</v>
      </c>
      <c r="F18" s="20">
        <v>415.55</v>
      </c>
      <c r="H18" s="6" t="s">
        <v>146</v>
      </c>
      <c r="P18" t="s">
        <v>165</v>
      </c>
      <c r="Q18" s="20">
        <v>260.51</v>
      </c>
      <c r="R18" s="20">
        <f>INDEX($S$18:$BQ$18,MATCH($I$7,$S$1:$BQ$1,0))</f>
        <v>255.15</v>
      </c>
      <c r="S18" s="20">
        <v>221.82</v>
      </c>
      <c r="T18" s="20">
        <v>258.59</v>
      </c>
      <c r="U18" s="20">
        <v>320.13</v>
      </c>
      <c r="V18" s="20">
        <v>220.64</v>
      </c>
      <c r="W18" s="20">
        <v>279.6</v>
      </c>
      <c r="X18" s="20">
        <v>454.19</v>
      </c>
      <c r="Y18" s="20">
        <v>170.84</v>
      </c>
      <c r="Z18" s="20">
        <v>199.66</v>
      </c>
      <c r="AA18" s="20">
        <v>509.57</v>
      </c>
      <c r="AB18" s="20">
        <v>308.49</v>
      </c>
      <c r="AC18" s="20">
        <v>240.18</v>
      </c>
      <c r="AD18" s="20">
        <v>254.31</v>
      </c>
      <c r="AE18" s="20">
        <v>344.47</v>
      </c>
      <c r="AF18" s="20">
        <v>199.05</v>
      </c>
      <c r="AG18" s="20">
        <v>212.36</v>
      </c>
      <c r="AH18" s="20">
        <v>246.38</v>
      </c>
      <c r="AI18" s="20">
        <v>244.68</v>
      </c>
      <c r="AJ18" s="20">
        <v>238.69</v>
      </c>
      <c r="AK18" s="20">
        <v>277.37</v>
      </c>
      <c r="AL18" s="20">
        <v>255.04</v>
      </c>
      <c r="AM18" s="20">
        <v>244.93</v>
      </c>
      <c r="AN18" s="20">
        <v>286.58</v>
      </c>
      <c r="AO18" s="20">
        <v>226.98</v>
      </c>
      <c r="AP18" s="20">
        <v>288.74</v>
      </c>
      <c r="AQ18" s="20">
        <v>207.02</v>
      </c>
      <c r="AR18" s="20">
        <v>237.05</v>
      </c>
      <c r="AS18" s="20">
        <v>392.06</v>
      </c>
      <c r="AT18" s="20">
        <v>264.64</v>
      </c>
      <c r="AU18" s="20">
        <v>266.72</v>
      </c>
      <c r="AV18" s="20">
        <v>252.94</v>
      </c>
      <c r="AW18" s="20">
        <v>235.04</v>
      </c>
      <c r="AX18" s="20">
        <v>245.4</v>
      </c>
      <c r="AY18" s="20">
        <v>240.2</v>
      </c>
      <c r="AZ18" s="20">
        <v>241.69</v>
      </c>
      <c r="BA18" s="20">
        <v>315.85</v>
      </c>
      <c r="BB18" s="20">
        <v>200.97</v>
      </c>
      <c r="BC18" s="20">
        <v>240.89</v>
      </c>
      <c r="BD18" s="20">
        <v>423.57</v>
      </c>
      <c r="BE18" s="20">
        <v>225.94</v>
      </c>
      <c r="BF18" s="20">
        <v>232.01</v>
      </c>
      <c r="BG18" s="20">
        <v>244.65</v>
      </c>
      <c r="BH18" s="20">
        <v>299.28</v>
      </c>
      <c r="BI18" s="20">
        <v>265.36</v>
      </c>
      <c r="BJ18" s="20">
        <v>288.06</v>
      </c>
      <c r="BK18" s="20">
        <v>416.32</v>
      </c>
      <c r="BL18" s="20">
        <v>236.5</v>
      </c>
      <c r="BM18" s="20">
        <v>255.15</v>
      </c>
      <c r="BN18" s="20">
        <v>364.6</v>
      </c>
      <c r="BO18" s="20">
        <v>214.59</v>
      </c>
      <c r="BP18" s="20">
        <v>261.4</v>
      </c>
      <c r="BQ18" s="20">
        <v>340.29</v>
      </c>
    </row>
    <row r="19" spans="1:69">
      <c r="A19" t="s">
        <v>61</v>
      </c>
      <c r="B19" t="s">
        <v>62</v>
      </c>
      <c r="C19" t="s">
        <v>17</v>
      </c>
      <c r="D19" s="17">
        <v>0.0425762540962944</v>
      </c>
      <c r="E19" s="17">
        <v>0.6552615633205412</v>
      </c>
      <c r="F19" s="20">
        <v>409.76</v>
      </c>
      <c r="H19" t="str">
        <f>"Loans originated by purpose, 2018-2025: "&amp;$I$6</f>
        <v>Loans originated by purpose, 2018-2025: Virginia</v>
      </c>
      <c r="P19" t="s">
        <v>166</v>
      </c>
      <c r="Q19" s="20">
        <v>263.54</v>
      </c>
      <c r="R19" s="20">
        <f>INDEX($S$19:$BQ$19,MATCH($I$7,$S$1:$BQ$1,0))</f>
        <v>258.98</v>
      </c>
      <c r="S19" s="20">
        <v>223.98</v>
      </c>
      <c r="T19" s="20">
        <v>263.22</v>
      </c>
      <c r="U19" s="20">
        <v>326.6</v>
      </c>
      <c r="V19" s="20">
        <v>222.72</v>
      </c>
      <c r="W19" s="20">
        <v>283.37</v>
      </c>
      <c r="X19" s="20">
        <v>462.64</v>
      </c>
      <c r="Y19" s="20">
        <v>172.02</v>
      </c>
      <c r="Z19" s="20">
        <v>209.13</v>
      </c>
      <c r="AA19" s="20">
        <v>519.52</v>
      </c>
      <c r="AB19" s="20">
        <v>311.28</v>
      </c>
      <c r="AC19" s="20">
        <v>244.2</v>
      </c>
      <c r="AD19" s="20">
        <v>253.44</v>
      </c>
      <c r="AE19" s="20">
        <v>350.91</v>
      </c>
      <c r="AF19" s="20">
        <v>200.58</v>
      </c>
      <c r="AG19" s="20">
        <v>214.85</v>
      </c>
      <c r="AH19" s="20">
        <v>246.43</v>
      </c>
      <c r="AI19" s="20">
        <v>246.45</v>
      </c>
      <c r="AJ19" s="20">
        <v>243.59</v>
      </c>
      <c r="AK19" s="20">
        <v>278.98</v>
      </c>
      <c r="AL19" s="20">
        <v>257.51</v>
      </c>
      <c r="AM19" s="20">
        <v>247.68</v>
      </c>
      <c r="AN19" s="20">
        <v>287.72</v>
      </c>
      <c r="AO19" s="20">
        <v>230.03</v>
      </c>
      <c r="AP19" s="20">
        <v>289.78</v>
      </c>
      <c r="AQ19" s="20">
        <v>208.15</v>
      </c>
      <c r="AR19" s="20">
        <v>239.36</v>
      </c>
      <c r="AS19" s="20">
        <v>405.74</v>
      </c>
      <c r="AT19" s="20">
        <v>268.77</v>
      </c>
      <c r="AU19" s="20">
        <v>268.65</v>
      </c>
      <c r="AV19" s="20">
        <v>257.76</v>
      </c>
      <c r="AW19" s="20">
        <v>236.24</v>
      </c>
      <c r="AX19" s="20">
        <v>249.07</v>
      </c>
      <c r="AY19" s="20">
        <v>243.4</v>
      </c>
      <c r="AZ19" s="20">
        <v>245.57</v>
      </c>
      <c r="BA19" s="20">
        <v>318.52</v>
      </c>
      <c r="BB19" s="20">
        <v>203.9</v>
      </c>
      <c r="BC19" s="20">
        <v>240.29</v>
      </c>
      <c r="BD19" s="20">
        <v>427.64</v>
      </c>
      <c r="BE19" s="20">
        <v>227.5</v>
      </c>
      <c r="BF19" s="20">
        <v>235.5</v>
      </c>
      <c r="BG19" s="20">
        <v>248.33</v>
      </c>
      <c r="BH19" s="20">
        <v>305.38</v>
      </c>
      <c r="BI19" s="20">
        <v>269.9</v>
      </c>
      <c r="BJ19" s="20">
        <v>290.92</v>
      </c>
      <c r="BK19" s="20">
        <v>423.8</v>
      </c>
      <c r="BL19" s="20">
        <v>238.68</v>
      </c>
      <c r="BM19" s="20">
        <v>258.98</v>
      </c>
      <c r="BN19" s="20">
        <v>368.83</v>
      </c>
      <c r="BO19" s="20">
        <v>214.45</v>
      </c>
      <c r="BP19" s="20">
        <v>264.79</v>
      </c>
      <c r="BQ19" s="20">
        <v>350.83</v>
      </c>
    </row>
    <row r="20" spans="1:69">
      <c r="A20" t="s">
        <v>63</v>
      </c>
      <c r="B20" t="s">
        <v>64</v>
      </c>
      <c r="C20" t="s">
        <v>17</v>
      </c>
      <c r="D20" s="17">
        <v>0.01585525597642179</v>
      </c>
      <c r="E20" s="17">
        <v>0.2962884561106407</v>
      </c>
      <c r="F20" s="20">
        <v>367.42</v>
      </c>
      <c r="H20" t="str">
        <f>"Q4 home price change, year over year: "&amp;$I$6&amp;" vs. U.S."</f>
        <v>Q4 home price change, year over year: Virginia vs. U.S.</v>
      </c>
      <c r="P20" t="s">
        <v>167</v>
      </c>
      <c r="Q20" s="20">
        <v>267</v>
      </c>
      <c r="R20" s="20">
        <f>INDEX($S$20:$BQ$20,MATCH($I$7,$S$1:$BQ$1,0))</f>
        <v>262.66</v>
      </c>
      <c r="S20" s="20">
        <v>227.71</v>
      </c>
      <c r="T20" s="20">
        <v>263.77</v>
      </c>
      <c r="U20" s="20">
        <v>333.95</v>
      </c>
      <c r="V20" s="20">
        <v>224.26</v>
      </c>
      <c r="W20" s="20">
        <v>287.22</v>
      </c>
      <c r="X20" s="20">
        <v>469.81</v>
      </c>
      <c r="Y20" s="20">
        <v>173.22</v>
      </c>
      <c r="Z20" s="20">
        <v>212.5</v>
      </c>
      <c r="AA20" s="20">
        <v>527.79</v>
      </c>
      <c r="AB20" s="20">
        <v>315.67</v>
      </c>
      <c r="AC20" s="20">
        <v>247.34</v>
      </c>
      <c r="AD20" s="20">
        <v>255.34</v>
      </c>
      <c r="AE20" s="20">
        <v>361.01</v>
      </c>
      <c r="AF20" s="20">
        <v>201.15</v>
      </c>
      <c r="AG20" s="20">
        <v>219.6</v>
      </c>
      <c r="AH20" s="20">
        <v>250.18</v>
      </c>
      <c r="AI20" s="20">
        <v>250.92</v>
      </c>
      <c r="AJ20" s="20">
        <v>244.93</v>
      </c>
      <c r="AK20" s="20">
        <v>280.7</v>
      </c>
      <c r="AL20" s="20">
        <v>262.94</v>
      </c>
      <c r="AM20" s="20">
        <v>250.24</v>
      </c>
      <c r="AN20" s="20">
        <v>291.97</v>
      </c>
      <c r="AO20" s="20">
        <v>232.87</v>
      </c>
      <c r="AP20" s="20">
        <v>293.81</v>
      </c>
      <c r="AQ20" s="20">
        <v>210.57</v>
      </c>
      <c r="AR20" s="20">
        <v>242.69</v>
      </c>
      <c r="AS20" s="20">
        <v>407.8</v>
      </c>
      <c r="AT20" s="20">
        <v>273.09</v>
      </c>
      <c r="AU20" s="20">
        <v>270.07</v>
      </c>
      <c r="AV20" s="20">
        <v>261.49</v>
      </c>
      <c r="AW20" s="20">
        <v>239.45</v>
      </c>
      <c r="AX20" s="20">
        <v>253.76</v>
      </c>
      <c r="AY20" s="20">
        <v>245.85</v>
      </c>
      <c r="AZ20" s="20">
        <v>248.66</v>
      </c>
      <c r="BA20" s="20">
        <v>316.16</v>
      </c>
      <c r="BB20" s="20">
        <v>206.71</v>
      </c>
      <c r="BC20" s="20">
        <v>244.8</v>
      </c>
      <c r="BD20" s="20">
        <v>434.49</v>
      </c>
      <c r="BE20" s="20">
        <v>229.8</v>
      </c>
      <c r="BF20" s="20">
        <v>238.34</v>
      </c>
      <c r="BG20" s="20">
        <v>250.3</v>
      </c>
      <c r="BH20" s="20">
        <v>304.01</v>
      </c>
      <c r="BI20" s="20">
        <v>273.72</v>
      </c>
      <c r="BJ20" s="20">
        <v>294.08</v>
      </c>
      <c r="BK20" s="20">
        <v>433.5</v>
      </c>
      <c r="BL20" s="20">
        <v>241.56</v>
      </c>
      <c r="BM20" s="20">
        <v>262.66</v>
      </c>
      <c r="BN20" s="20">
        <v>377.22</v>
      </c>
      <c r="BO20" s="20">
        <v>215.83</v>
      </c>
      <c r="BP20" s="20">
        <v>270.32</v>
      </c>
      <c r="BQ20" s="20">
        <v>352.96</v>
      </c>
    </row>
    <row r="21" spans="1:69">
      <c r="A21" t="s">
        <v>65</v>
      </c>
      <c r="B21" t="s">
        <v>66</v>
      </c>
      <c r="C21" t="s">
        <v>35</v>
      </c>
      <c r="D21" s="17">
        <v>0.009753136382031569</v>
      </c>
      <c r="E21" s="17">
        <v>0.8563558686853547</v>
      </c>
      <c r="F21" s="20">
        <v>495.35</v>
      </c>
      <c r="H21" t="str">
        <f>"House price index (1991 Q1 = 100), 2015 Q1-2026 Q2: "&amp;$I$6&amp;" vs. U.S."</f>
        <v>House price index (1991 Q1 = 100), 2015 Q1-2026 Q2: Virginia vs. U.S.</v>
      </c>
      <c r="P21" t="s">
        <v>168</v>
      </c>
      <c r="Q21" s="20">
        <v>271.47</v>
      </c>
      <c r="R21" s="20">
        <f>INDEX($S$21:$BQ$21,MATCH($I$7,$S$1:$BQ$1,0))</f>
        <v>266.58</v>
      </c>
      <c r="S21" s="20">
        <v>231.63</v>
      </c>
      <c r="T21" s="20">
        <v>265.43</v>
      </c>
      <c r="U21" s="20">
        <v>343.02</v>
      </c>
      <c r="V21" s="20">
        <v>225.52</v>
      </c>
      <c r="W21" s="20">
        <v>290.89</v>
      </c>
      <c r="X21" s="20">
        <v>477.8</v>
      </c>
      <c r="Y21" s="20">
        <v>174.33</v>
      </c>
      <c r="Z21" s="20">
        <v>216.19</v>
      </c>
      <c r="AA21" s="20">
        <v>556.61</v>
      </c>
      <c r="AB21" s="20">
        <v>322.6</v>
      </c>
      <c r="AC21" s="20">
        <v>252.72</v>
      </c>
      <c r="AD21" s="20">
        <v>262.53</v>
      </c>
      <c r="AE21" s="20">
        <v>376.25</v>
      </c>
      <c r="AF21" s="20">
        <v>203.34</v>
      </c>
      <c r="AG21" s="20">
        <v>222.68</v>
      </c>
      <c r="AH21" s="20">
        <v>251.98</v>
      </c>
      <c r="AI21" s="20">
        <v>254.82</v>
      </c>
      <c r="AJ21" s="20">
        <v>247.55</v>
      </c>
      <c r="AK21" s="20">
        <v>283.44</v>
      </c>
      <c r="AL21" s="20">
        <v>266.84</v>
      </c>
      <c r="AM21" s="20">
        <v>252.33</v>
      </c>
      <c r="AN21" s="20">
        <v>297.64</v>
      </c>
      <c r="AO21" s="20">
        <v>236.74</v>
      </c>
      <c r="AP21" s="20">
        <v>298.69</v>
      </c>
      <c r="AQ21" s="20">
        <v>212.19</v>
      </c>
      <c r="AR21" s="20">
        <v>249.03</v>
      </c>
      <c r="AS21" s="20">
        <v>416.37</v>
      </c>
      <c r="AT21" s="20">
        <v>274.14</v>
      </c>
      <c r="AU21" s="20">
        <v>272.88</v>
      </c>
      <c r="AV21" s="20">
        <v>265.11</v>
      </c>
      <c r="AW21" s="20">
        <v>243.63</v>
      </c>
      <c r="AX21" s="20">
        <v>256.58</v>
      </c>
      <c r="AY21" s="20">
        <v>250.44</v>
      </c>
      <c r="AZ21" s="20">
        <v>253.93</v>
      </c>
      <c r="BA21" s="20">
        <v>315.66</v>
      </c>
      <c r="BB21" s="20">
        <v>210.76</v>
      </c>
      <c r="BC21" s="20">
        <v>247.21</v>
      </c>
      <c r="BD21" s="20">
        <v>443.72</v>
      </c>
      <c r="BE21" s="20">
        <v>233.16</v>
      </c>
      <c r="BF21" s="20">
        <v>243.7</v>
      </c>
      <c r="BG21" s="20">
        <v>254.73</v>
      </c>
      <c r="BH21" s="20">
        <v>309.89</v>
      </c>
      <c r="BI21" s="20">
        <v>279.06</v>
      </c>
      <c r="BJ21" s="20">
        <v>298.66</v>
      </c>
      <c r="BK21" s="20">
        <v>442.82</v>
      </c>
      <c r="BL21" s="20">
        <v>243.24</v>
      </c>
      <c r="BM21" s="20">
        <v>266.58</v>
      </c>
      <c r="BN21" s="20">
        <v>387.09</v>
      </c>
      <c r="BO21" s="20">
        <v>220.87</v>
      </c>
      <c r="BP21" s="20">
        <v>274.89</v>
      </c>
      <c r="BQ21" s="20">
        <v>358.25</v>
      </c>
    </row>
    <row r="22" spans="1:69">
      <c r="A22" t="s">
        <v>67</v>
      </c>
      <c r="B22" t="s">
        <v>68</v>
      </c>
      <c r="C22" t="s">
        <v>17</v>
      </c>
      <c r="D22" s="17">
        <v>0.009498255969949021</v>
      </c>
      <c r="E22" s="17">
        <v>0.4618951373201758</v>
      </c>
      <c r="F22" s="20">
        <v>368.88</v>
      </c>
      <c r="P22" t="s">
        <v>169</v>
      </c>
      <c r="Q22" s="20">
        <v>276.66</v>
      </c>
      <c r="R22" s="20">
        <f>INDEX($S$22:$BQ$22,MATCH($I$7,$S$1:$BQ$1,0))</f>
        <v>272.54</v>
      </c>
      <c r="S22" s="20">
        <v>237.47</v>
      </c>
      <c r="T22" s="20">
        <v>267.5</v>
      </c>
      <c r="U22" s="20">
        <v>351.09</v>
      </c>
      <c r="V22" s="20">
        <v>228.51</v>
      </c>
      <c r="W22" s="20">
        <v>296.16</v>
      </c>
      <c r="X22" s="20">
        <v>485.98</v>
      </c>
      <c r="Y22" s="20">
        <v>176.81</v>
      </c>
      <c r="Z22" s="20">
        <v>216.11</v>
      </c>
      <c r="AA22" s="20">
        <v>551.9</v>
      </c>
      <c r="AB22" s="20">
        <v>330.45</v>
      </c>
      <c r="AC22" s="20">
        <v>258.7</v>
      </c>
      <c r="AD22" s="20">
        <v>268.76</v>
      </c>
      <c r="AE22" s="20">
        <v>388.75</v>
      </c>
      <c r="AF22" s="20">
        <v>205.49</v>
      </c>
      <c r="AG22" s="20">
        <v>228.58</v>
      </c>
      <c r="AH22" s="20">
        <v>255.19</v>
      </c>
      <c r="AI22" s="20">
        <v>257.47</v>
      </c>
      <c r="AJ22" s="20">
        <v>253.12</v>
      </c>
      <c r="AK22" s="20">
        <v>286.01</v>
      </c>
      <c r="AL22" s="20">
        <v>273.76</v>
      </c>
      <c r="AM22" s="20">
        <v>254.43</v>
      </c>
      <c r="AN22" s="20">
        <v>302.91</v>
      </c>
      <c r="AO22" s="20">
        <v>241.43</v>
      </c>
      <c r="AP22" s="20">
        <v>302.9</v>
      </c>
      <c r="AQ22" s="20">
        <v>215.07</v>
      </c>
      <c r="AR22" s="20">
        <v>252.56</v>
      </c>
      <c r="AS22" s="20">
        <v>437.48</v>
      </c>
      <c r="AT22" s="20">
        <v>281.51</v>
      </c>
      <c r="AU22" s="20">
        <v>278.61</v>
      </c>
      <c r="AV22" s="20">
        <v>271.62</v>
      </c>
      <c r="AW22" s="20">
        <v>249.2</v>
      </c>
      <c r="AX22" s="20">
        <v>263.92</v>
      </c>
      <c r="AY22" s="20">
        <v>254.58</v>
      </c>
      <c r="AZ22" s="20">
        <v>259.61</v>
      </c>
      <c r="BA22" s="20">
        <v>319.91</v>
      </c>
      <c r="BB22" s="20">
        <v>214.74</v>
      </c>
      <c r="BC22" s="20">
        <v>252.77</v>
      </c>
      <c r="BD22" s="20">
        <v>451.61</v>
      </c>
      <c r="BE22" s="20">
        <v>237.88</v>
      </c>
      <c r="BF22" s="20">
        <v>248.61</v>
      </c>
      <c r="BG22" s="20">
        <v>259.93</v>
      </c>
      <c r="BH22" s="20">
        <v>313.15</v>
      </c>
      <c r="BI22" s="20">
        <v>285.96</v>
      </c>
      <c r="BJ22" s="20">
        <v>303.15</v>
      </c>
      <c r="BK22" s="20">
        <v>456.7</v>
      </c>
      <c r="BL22" s="20">
        <v>256.38</v>
      </c>
      <c r="BM22" s="20">
        <v>272.54</v>
      </c>
      <c r="BN22" s="20">
        <v>397.38</v>
      </c>
      <c r="BO22" s="20">
        <v>216.53</v>
      </c>
      <c r="BP22" s="20">
        <v>279.49</v>
      </c>
      <c r="BQ22" s="20">
        <v>368.78</v>
      </c>
    </row>
    <row r="23" spans="1:69">
      <c r="A23" t="s">
        <v>69</v>
      </c>
      <c r="B23" t="s">
        <v>70</v>
      </c>
      <c r="C23" t="s">
        <v>35</v>
      </c>
      <c r="D23" s="17">
        <v>0.03629752621955062</v>
      </c>
      <c r="E23" s="17">
        <v>0.6213210589974467</v>
      </c>
      <c r="F23" s="20">
        <v>482.57</v>
      </c>
      <c r="P23" t="s">
        <v>170</v>
      </c>
      <c r="Q23" s="20">
        <v>278.3</v>
      </c>
      <c r="R23" s="20">
        <f>INDEX($S$23:$BQ$23,MATCH($I$7,$S$1:$BQ$1,0))</f>
        <v>270.65</v>
      </c>
      <c r="S23" s="20">
        <v>239.03</v>
      </c>
      <c r="T23" s="20">
        <v>272</v>
      </c>
      <c r="U23" s="20">
        <v>357.47</v>
      </c>
      <c r="V23" s="20">
        <v>233.66</v>
      </c>
      <c r="W23" s="20">
        <v>296.78</v>
      </c>
      <c r="X23" s="20">
        <v>486.21</v>
      </c>
      <c r="Y23" s="20">
        <v>178.13</v>
      </c>
      <c r="Z23" s="20">
        <v>218.91</v>
      </c>
      <c r="AA23" s="20">
        <v>540.21</v>
      </c>
      <c r="AB23" s="20">
        <v>333.85</v>
      </c>
      <c r="AC23" s="20">
        <v>260.82</v>
      </c>
      <c r="AD23" s="20">
        <v>271.15</v>
      </c>
      <c r="AE23" s="20">
        <v>389.74</v>
      </c>
      <c r="AF23" s="20">
        <v>205.48</v>
      </c>
      <c r="AG23" s="20">
        <v>231.26</v>
      </c>
      <c r="AH23" s="20">
        <v>257.46</v>
      </c>
      <c r="AI23" s="20">
        <v>260.69</v>
      </c>
      <c r="AJ23" s="20">
        <v>255.33</v>
      </c>
      <c r="AK23" s="20">
        <v>290.01</v>
      </c>
      <c r="AL23" s="20">
        <v>275.93</v>
      </c>
      <c r="AM23" s="20">
        <v>256.58</v>
      </c>
      <c r="AN23" s="20">
        <v>301.27</v>
      </c>
      <c r="AO23" s="20">
        <v>241.74</v>
      </c>
      <c r="AP23" s="20">
        <v>305.23</v>
      </c>
      <c r="AQ23" s="20">
        <v>219.36</v>
      </c>
      <c r="AR23" s="20">
        <v>254.78</v>
      </c>
      <c r="AS23" s="20">
        <v>426.69</v>
      </c>
      <c r="AT23" s="20">
        <v>283.69</v>
      </c>
      <c r="AU23" s="20">
        <v>280.57</v>
      </c>
      <c r="AV23" s="20">
        <v>272.22</v>
      </c>
      <c r="AW23" s="20">
        <v>247.5</v>
      </c>
      <c r="AX23" s="20">
        <v>267.3</v>
      </c>
      <c r="AY23" s="20">
        <v>255.77</v>
      </c>
      <c r="AZ23" s="20">
        <v>260.97</v>
      </c>
      <c r="BA23" s="20">
        <v>321.21</v>
      </c>
      <c r="BB23" s="20">
        <v>218.21</v>
      </c>
      <c r="BC23" s="20">
        <v>257.25</v>
      </c>
      <c r="BD23" s="20">
        <v>451.3</v>
      </c>
      <c r="BE23" s="20">
        <v>238.78</v>
      </c>
      <c r="BF23" s="20">
        <v>245.64</v>
      </c>
      <c r="BG23" s="20">
        <v>263.16</v>
      </c>
      <c r="BH23" s="20">
        <v>318.68</v>
      </c>
      <c r="BI23" s="20">
        <v>289.3</v>
      </c>
      <c r="BJ23" s="20">
        <v>304.27</v>
      </c>
      <c r="BK23" s="20">
        <v>459.05</v>
      </c>
      <c r="BL23" s="20">
        <v>244.76</v>
      </c>
      <c r="BM23" s="20">
        <v>270.65</v>
      </c>
      <c r="BN23" s="20">
        <v>399.97</v>
      </c>
      <c r="BO23" s="20">
        <v>217.58</v>
      </c>
      <c r="BP23" s="20">
        <v>280.04</v>
      </c>
      <c r="BQ23" s="20">
        <v>367.94</v>
      </c>
    </row>
    <row r="24" spans="1:69">
      <c r="A24" t="s">
        <v>71</v>
      </c>
      <c r="B24" t="s">
        <v>72</v>
      </c>
      <c r="C24" t="s">
        <v>52</v>
      </c>
      <c r="D24" s="17">
        <v>0.03684333169355036</v>
      </c>
      <c r="E24" s="17">
        <v>0.6595421137112443</v>
      </c>
      <c r="F24" s="20">
        <v>392.88</v>
      </c>
      <c r="P24" t="s">
        <v>171</v>
      </c>
      <c r="Q24" s="20">
        <v>288.78</v>
      </c>
      <c r="R24" s="20">
        <f>INDEX($S$24:$BQ$24,MATCH($I$7,$S$1:$BQ$1,0))</f>
        <v>283.02</v>
      </c>
      <c r="S24" s="20">
        <v>246.19</v>
      </c>
      <c r="T24" s="20">
        <v>273.46</v>
      </c>
      <c r="U24" s="20">
        <v>372.03</v>
      </c>
      <c r="V24" s="20">
        <v>240.08</v>
      </c>
      <c r="W24" s="20">
        <v>309.04</v>
      </c>
      <c r="X24" s="20">
        <v>506.76</v>
      </c>
      <c r="Y24" s="20">
        <v>187.35</v>
      </c>
      <c r="Z24" s="20">
        <v>225.97</v>
      </c>
      <c r="AA24" s="20">
        <v>570.16</v>
      </c>
      <c r="AB24" s="20">
        <v>343.4</v>
      </c>
      <c r="AC24" s="20">
        <v>269.86</v>
      </c>
      <c r="AD24" s="20">
        <v>269.81</v>
      </c>
      <c r="AE24" s="20">
        <v>418.4</v>
      </c>
      <c r="AF24" s="20">
        <v>212.64</v>
      </c>
      <c r="AG24" s="20">
        <v>239.34</v>
      </c>
      <c r="AH24" s="20">
        <v>263.44</v>
      </c>
      <c r="AI24" s="20">
        <v>272.74</v>
      </c>
      <c r="AJ24" s="20">
        <v>264.65</v>
      </c>
      <c r="AK24" s="20">
        <v>294.56</v>
      </c>
      <c r="AL24" s="20">
        <v>285.94</v>
      </c>
      <c r="AM24" s="20">
        <v>268.43</v>
      </c>
      <c r="AN24" s="20">
        <v>316.26</v>
      </c>
      <c r="AO24" s="20">
        <v>252.6</v>
      </c>
      <c r="AP24" s="20">
        <v>314.67</v>
      </c>
      <c r="AQ24" s="20">
        <v>224.25</v>
      </c>
      <c r="AR24" s="20">
        <v>265.75</v>
      </c>
      <c r="AS24" s="20">
        <v>452.15</v>
      </c>
      <c r="AT24" s="20">
        <v>294.27</v>
      </c>
      <c r="AU24" s="20">
        <v>289.61</v>
      </c>
      <c r="AV24" s="20">
        <v>288.03</v>
      </c>
      <c r="AW24" s="20">
        <v>260.28</v>
      </c>
      <c r="AX24" s="20">
        <v>276.27</v>
      </c>
      <c r="AY24" s="20">
        <v>263.76</v>
      </c>
      <c r="AZ24" s="20">
        <v>270.48</v>
      </c>
      <c r="BA24" s="20">
        <v>328.53</v>
      </c>
      <c r="BB24" s="20">
        <v>227.25</v>
      </c>
      <c r="BC24" s="20">
        <v>261.46</v>
      </c>
      <c r="BD24" s="20">
        <v>473.34</v>
      </c>
      <c r="BE24" s="20">
        <v>249.04</v>
      </c>
      <c r="BF24" s="20">
        <v>260.01</v>
      </c>
      <c r="BG24" s="20">
        <v>272.51</v>
      </c>
      <c r="BH24" s="20">
        <v>327.96</v>
      </c>
      <c r="BI24" s="20">
        <v>300.76</v>
      </c>
      <c r="BJ24" s="20">
        <v>314</v>
      </c>
      <c r="BK24" s="20">
        <v>480.83</v>
      </c>
      <c r="BL24" s="20">
        <v>257.42</v>
      </c>
      <c r="BM24" s="20">
        <v>283.02</v>
      </c>
      <c r="BN24" s="20">
        <v>419.79</v>
      </c>
      <c r="BO24" s="20">
        <v>226.12</v>
      </c>
      <c r="BP24" s="20">
        <v>290.65</v>
      </c>
      <c r="BQ24" s="20">
        <v>374.22</v>
      </c>
    </row>
    <row r="25" spans="1:69">
      <c r="A25" t="s">
        <v>73</v>
      </c>
      <c r="B25" t="s">
        <v>74</v>
      </c>
      <c r="C25" t="s">
        <v>52</v>
      </c>
      <c r="D25" s="17">
        <v>0.02423891654126642</v>
      </c>
      <c r="E25" s="17">
        <v>0.4570959858046806</v>
      </c>
      <c r="F25" s="20">
        <v>435.22</v>
      </c>
      <c r="P25" t="s">
        <v>172</v>
      </c>
      <c r="Q25" s="20">
        <v>301.66</v>
      </c>
      <c r="R25" s="20">
        <f>INDEX($S$25:$BQ$25,MATCH($I$7,$S$1:$BQ$1,0))</f>
        <v>294.95</v>
      </c>
      <c r="S25" s="20">
        <v>257.94</v>
      </c>
      <c r="T25" s="20">
        <v>288.15</v>
      </c>
      <c r="U25" s="20">
        <v>392.01</v>
      </c>
      <c r="V25" s="20">
        <v>250.04</v>
      </c>
      <c r="W25" s="20">
        <v>324.95</v>
      </c>
      <c r="X25" s="20">
        <v>529.5599999999999</v>
      </c>
      <c r="Y25" s="20">
        <v>198.14</v>
      </c>
      <c r="Z25" s="20">
        <v>234.17</v>
      </c>
      <c r="AA25" s="20">
        <v>576.55</v>
      </c>
      <c r="AB25" s="20">
        <v>361.22</v>
      </c>
      <c r="AC25" s="20">
        <v>281.95</v>
      </c>
      <c r="AD25" s="20">
        <v>280.15</v>
      </c>
      <c r="AE25" s="20">
        <v>453.26</v>
      </c>
      <c r="AF25" s="20">
        <v>220.01</v>
      </c>
      <c r="AG25" s="20">
        <v>250.28</v>
      </c>
      <c r="AH25" s="20">
        <v>272.77</v>
      </c>
      <c r="AI25" s="20">
        <v>283.06</v>
      </c>
      <c r="AJ25" s="20">
        <v>275.42</v>
      </c>
      <c r="AK25" s="20">
        <v>301.27</v>
      </c>
      <c r="AL25" s="20">
        <v>304.68</v>
      </c>
      <c r="AM25" s="20">
        <v>278.5</v>
      </c>
      <c r="AN25" s="20">
        <v>331.32</v>
      </c>
      <c r="AO25" s="20">
        <v>263.39</v>
      </c>
      <c r="AP25" s="20">
        <v>327.45</v>
      </c>
      <c r="AQ25" s="20">
        <v>229.31</v>
      </c>
      <c r="AR25" s="20">
        <v>275.32</v>
      </c>
      <c r="AS25" s="20">
        <v>479.07</v>
      </c>
      <c r="AT25" s="20">
        <v>305.35</v>
      </c>
      <c r="AU25" s="20">
        <v>302.55</v>
      </c>
      <c r="AV25" s="20">
        <v>303.54</v>
      </c>
      <c r="AW25" s="20">
        <v>273.21</v>
      </c>
      <c r="AX25" s="20">
        <v>286.51</v>
      </c>
      <c r="AY25" s="20">
        <v>277.86</v>
      </c>
      <c r="AZ25" s="20">
        <v>284.64</v>
      </c>
      <c r="BA25" s="20">
        <v>337.31</v>
      </c>
      <c r="BB25" s="20">
        <v>236.64</v>
      </c>
      <c r="BC25" s="20">
        <v>270.27</v>
      </c>
      <c r="BD25" s="20">
        <v>496.33</v>
      </c>
      <c r="BE25" s="20">
        <v>258.65</v>
      </c>
      <c r="BF25" s="20">
        <v>277.43</v>
      </c>
      <c r="BG25" s="20">
        <v>281.37</v>
      </c>
      <c r="BH25" s="20">
        <v>340.7</v>
      </c>
      <c r="BI25" s="20">
        <v>313.86</v>
      </c>
      <c r="BJ25" s="20">
        <v>325.86</v>
      </c>
      <c r="BK25" s="20">
        <v>512.21</v>
      </c>
      <c r="BL25" s="20">
        <v>273.41</v>
      </c>
      <c r="BM25" s="20">
        <v>294.95</v>
      </c>
      <c r="BN25" s="20">
        <v>441.99</v>
      </c>
      <c r="BO25" s="20">
        <v>233.93</v>
      </c>
      <c r="BP25" s="20">
        <v>304.15</v>
      </c>
      <c r="BQ25" s="20">
        <v>387.84</v>
      </c>
    </row>
    <row r="26" spans="1:69">
      <c r="A26" t="s">
        <v>75</v>
      </c>
      <c r="B26" t="s">
        <v>76</v>
      </c>
      <c r="C26" t="s">
        <v>17</v>
      </c>
      <c r="D26" s="17">
        <v>0.006025570441059669</v>
      </c>
      <c r="E26" s="17">
        <v>0.5453602903058581</v>
      </c>
      <c r="F26" s="20">
        <v>327.91</v>
      </c>
      <c r="P26" t="s">
        <v>173</v>
      </c>
      <c r="Q26" s="20">
        <v>312.53</v>
      </c>
      <c r="R26" s="20">
        <f>INDEX($S$26:$BQ$26,MATCH($I$7,$S$1:$BQ$1,0))</f>
        <v>303.42</v>
      </c>
      <c r="S26" s="20">
        <v>264.46</v>
      </c>
      <c r="T26" s="20">
        <v>289.21</v>
      </c>
      <c r="U26" s="20">
        <v>414.46</v>
      </c>
      <c r="V26" s="20">
        <v>255.99</v>
      </c>
      <c r="W26" s="20">
        <v>338.13</v>
      </c>
      <c r="X26" s="20">
        <v>549.41</v>
      </c>
      <c r="Y26" s="20">
        <v>206.36</v>
      </c>
      <c r="Z26" s="20">
        <v>245.57</v>
      </c>
      <c r="AA26" s="20">
        <v>599.55</v>
      </c>
      <c r="AB26" s="20">
        <v>375.36</v>
      </c>
      <c r="AC26" s="20">
        <v>293.58</v>
      </c>
      <c r="AD26" s="20">
        <v>288.39</v>
      </c>
      <c r="AE26" s="20">
        <v>483.53</v>
      </c>
      <c r="AF26" s="20">
        <v>226.27</v>
      </c>
      <c r="AG26" s="20">
        <v>258.11</v>
      </c>
      <c r="AH26" s="20">
        <v>279.28</v>
      </c>
      <c r="AI26" s="20">
        <v>289.46</v>
      </c>
      <c r="AJ26" s="20">
        <v>281.63</v>
      </c>
      <c r="AK26" s="20">
        <v>309.06</v>
      </c>
      <c r="AL26" s="20">
        <v>316.49</v>
      </c>
      <c r="AM26" s="20">
        <v>287.29</v>
      </c>
      <c r="AN26" s="20">
        <v>343.85</v>
      </c>
      <c r="AO26" s="20">
        <v>272.94</v>
      </c>
      <c r="AP26" s="20">
        <v>336.42</v>
      </c>
      <c r="AQ26" s="20">
        <v>235.71</v>
      </c>
      <c r="AR26" s="20">
        <v>285.19</v>
      </c>
      <c r="AS26" s="20">
        <v>502.87</v>
      </c>
      <c r="AT26" s="20">
        <v>315.14</v>
      </c>
      <c r="AU26" s="20">
        <v>314.2</v>
      </c>
      <c r="AV26" s="20">
        <v>316.34</v>
      </c>
      <c r="AW26" s="20">
        <v>284.2</v>
      </c>
      <c r="AX26" s="20">
        <v>294.91</v>
      </c>
      <c r="AY26" s="20">
        <v>287.5</v>
      </c>
      <c r="AZ26" s="20">
        <v>295.45</v>
      </c>
      <c r="BA26" s="20">
        <v>341.72</v>
      </c>
      <c r="BB26" s="20">
        <v>244</v>
      </c>
      <c r="BC26" s="20">
        <v>279.18</v>
      </c>
      <c r="BD26" s="20">
        <v>516.96</v>
      </c>
      <c r="BE26" s="20">
        <v>265.91</v>
      </c>
      <c r="BF26" s="20">
        <v>286.03</v>
      </c>
      <c r="BG26" s="20">
        <v>291.8</v>
      </c>
      <c r="BH26" s="20">
        <v>357.08</v>
      </c>
      <c r="BI26" s="20">
        <v>327.99</v>
      </c>
      <c r="BJ26" s="20">
        <v>339.05</v>
      </c>
      <c r="BK26" s="20">
        <v>544.53</v>
      </c>
      <c r="BL26" s="20">
        <v>282.18</v>
      </c>
      <c r="BM26" s="20">
        <v>303.42</v>
      </c>
      <c r="BN26" s="20">
        <v>461.09</v>
      </c>
      <c r="BO26" s="20">
        <v>239.19</v>
      </c>
      <c r="BP26" s="20">
        <v>311.74</v>
      </c>
      <c r="BQ26" s="20">
        <v>399.31</v>
      </c>
    </row>
    <row r="27" spans="1:69">
      <c r="A27" t="s">
        <v>77</v>
      </c>
      <c r="B27" t="s">
        <v>78</v>
      </c>
      <c r="C27" t="s">
        <v>52</v>
      </c>
      <c r="D27" s="17">
        <v>0.03705823792931806</v>
      </c>
      <c r="E27" s="17">
        <v>0.6437377022848652</v>
      </c>
      <c r="F27" s="20">
        <v>409.34</v>
      </c>
      <c r="P27" t="s">
        <v>174</v>
      </c>
      <c r="Q27" s="20">
        <v>326.58</v>
      </c>
      <c r="R27" s="20">
        <f>INDEX($S$27:$BQ$27,MATCH($I$7,$S$1:$BQ$1,0))</f>
        <v>314.18</v>
      </c>
      <c r="S27" s="20">
        <v>277.05</v>
      </c>
      <c r="T27" s="20">
        <v>296.97</v>
      </c>
      <c r="U27" s="20">
        <v>442.96</v>
      </c>
      <c r="V27" s="20">
        <v>268.49</v>
      </c>
      <c r="W27" s="20">
        <v>355.6</v>
      </c>
      <c r="X27" s="20">
        <v>581.51</v>
      </c>
      <c r="Y27" s="20">
        <v>213.38</v>
      </c>
      <c r="Z27" s="20">
        <v>253.15</v>
      </c>
      <c r="AA27" s="20">
        <v>618.5599999999999</v>
      </c>
      <c r="AB27" s="20">
        <v>398.23</v>
      </c>
      <c r="AC27" s="20">
        <v>305.75</v>
      </c>
      <c r="AD27" s="20">
        <v>305.06</v>
      </c>
      <c r="AE27" s="20">
        <v>525.95</v>
      </c>
      <c r="AF27" s="20">
        <v>232.28</v>
      </c>
      <c r="AG27" s="20">
        <v>268.14</v>
      </c>
      <c r="AH27" s="20">
        <v>287.9</v>
      </c>
      <c r="AI27" s="20">
        <v>303.08</v>
      </c>
      <c r="AJ27" s="20">
        <v>293.81</v>
      </c>
      <c r="AK27" s="20">
        <v>315.83</v>
      </c>
      <c r="AL27" s="20">
        <v>336.58</v>
      </c>
      <c r="AM27" s="20">
        <v>293.7</v>
      </c>
      <c r="AN27" s="20">
        <v>357.57</v>
      </c>
      <c r="AO27" s="20">
        <v>283.05</v>
      </c>
      <c r="AP27" s="20">
        <v>348.97</v>
      </c>
      <c r="AQ27" s="20">
        <v>243.38</v>
      </c>
      <c r="AR27" s="20">
        <v>296.27</v>
      </c>
      <c r="AS27" s="20">
        <v>527.86</v>
      </c>
      <c r="AT27" s="20">
        <v>327.2</v>
      </c>
      <c r="AU27" s="20">
        <v>335.18</v>
      </c>
      <c r="AV27" s="20">
        <v>332.38</v>
      </c>
      <c r="AW27" s="20">
        <v>294.14</v>
      </c>
      <c r="AX27" s="20">
        <v>305.04</v>
      </c>
      <c r="AY27" s="20">
        <v>297.7</v>
      </c>
      <c r="AZ27" s="20">
        <v>310.89</v>
      </c>
      <c r="BA27" s="20">
        <v>350.41</v>
      </c>
      <c r="BB27" s="20">
        <v>253.13</v>
      </c>
      <c r="BC27" s="20">
        <v>289.45</v>
      </c>
      <c r="BD27" s="20">
        <v>543.15</v>
      </c>
      <c r="BE27" s="20">
        <v>275.85</v>
      </c>
      <c r="BF27" s="20">
        <v>302.84</v>
      </c>
      <c r="BG27" s="20">
        <v>309.51</v>
      </c>
      <c r="BH27" s="20">
        <v>367.65</v>
      </c>
      <c r="BI27" s="20">
        <v>346.27</v>
      </c>
      <c r="BJ27" s="20">
        <v>355.09</v>
      </c>
      <c r="BK27" s="20">
        <v>584.39</v>
      </c>
      <c r="BL27" s="20">
        <v>297.64</v>
      </c>
      <c r="BM27" s="20">
        <v>314.18</v>
      </c>
      <c r="BN27" s="20">
        <v>485.48</v>
      </c>
      <c r="BO27" s="20">
        <v>247.05</v>
      </c>
      <c r="BP27" s="20">
        <v>324.73</v>
      </c>
      <c r="BQ27" s="20">
        <v>414.01</v>
      </c>
    </row>
    <row r="28" spans="1:69">
      <c r="A28" t="s">
        <v>79</v>
      </c>
      <c r="B28" t="s">
        <v>80</v>
      </c>
      <c r="C28" t="s">
        <v>21</v>
      </c>
      <c r="D28" s="17">
        <v>0.02591725002042877</v>
      </c>
      <c r="E28" s="17">
        <v>0.7822129356101544</v>
      </c>
      <c r="F28" s="20">
        <v>742.0599999999999</v>
      </c>
      <c r="P28" t="s">
        <v>175</v>
      </c>
      <c r="Q28" s="20">
        <v>341.25</v>
      </c>
      <c r="R28" s="20">
        <f>INDEX($S$28:$BQ$28,MATCH($I$7,$S$1:$BQ$1,0))</f>
        <v>325.31</v>
      </c>
      <c r="S28" s="20">
        <v>289.82</v>
      </c>
      <c r="T28" s="20">
        <v>309.66</v>
      </c>
      <c r="U28" s="20">
        <v>474.05</v>
      </c>
      <c r="V28" s="20">
        <v>280.72</v>
      </c>
      <c r="W28" s="20">
        <v>372.99</v>
      </c>
      <c r="X28" s="20">
        <v>609.48</v>
      </c>
      <c r="Y28" s="20">
        <v>220.43</v>
      </c>
      <c r="Z28" s="20">
        <v>260.09</v>
      </c>
      <c r="AA28" s="20">
        <v>614.1</v>
      </c>
      <c r="AB28" s="20">
        <v>427</v>
      </c>
      <c r="AC28" s="20">
        <v>323.61</v>
      </c>
      <c r="AD28" s="20">
        <v>326.1</v>
      </c>
      <c r="AE28" s="20">
        <v>559.0700000000001</v>
      </c>
      <c r="AF28" s="20">
        <v>240.3</v>
      </c>
      <c r="AG28" s="20">
        <v>277.29</v>
      </c>
      <c r="AH28" s="20">
        <v>295.54</v>
      </c>
      <c r="AI28" s="20">
        <v>311.94</v>
      </c>
      <c r="AJ28" s="20">
        <v>306.77</v>
      </c>
      <c r="AK28" s="20">
        <v>325.49</v>
      </c>
      <c r="AL28" s="20">
        <v>353.63</v>
      </c>
      <c r="AM28" s="20">
        <v>301.93</v>
      </c>
      <c r="AN28" s="20">
        <v>370.32</v>
      </c>
      <c r="AO28" s="20">
        <v>293.55</v>
      </c>
      <c r="AP28" s="20">
        <v>358.04</v>
      </c>
      <c r="AQ28" s="20">
        <v>252.24</v>
      </c>
      <c r="AR28" s="20">
        <v>306.71</v>
      </c>
      <c r="AS28" s="20">
        <v>571.53</v>
      </c>
      <c r="AT28" s="20">
        <v>338.92</v>
      </c>
      <c r="AU28" s="20">
        <v>358.24</v>
      </c>
      <c r="AV28" s="20">
        <v>347.19</v>
      </c>
      <c r="AW28" s="20">
        <v>303.3</v>
      </c>
      <c r="AX28" s="20">
        <v>319.14</v>
      </c>
      <c r="AY28" s="20">
        <v>307.06</v>
      </c>
      <c r="AZ28" s="20">
        <v>329.95</v>
      </c>
      <c r="BA28" s="20">
        <v>361.95</v>
      </c>
      <c r="BB28" s="20">
        <v>261.05</v>
      </c>
      <c r="BC28" s="20">
        <v>303.6</v>
      </c>
      <c r="BD28" s="20">
        <v>564.66</v>
      </c>
      <c r="BE28" s="20">
        <v>284.8</v>
      </c>
      <c r="BF28" s="20">
        <v>313.5</v>
      </c>
      <c r="BG28" s="20">
        <v>322.47</v>
      </c>
      <c r="BH28" s="20">
        <v>388.16</v>
      </c>
      <c r="BI28" s="20">
        <v>366.99</v>
      </c>
      <c r="BJ28" s="20">
        <v>372.78</v>
      </c>
      <c r="BK28" s="20">
        <v>621.91</v>
      </c>
      <c r="BL28" s="20">
        <v>313.52</v>
      </c>
      <c r="BM28" s="20">
        <v>325.31</v>
      </c>
      <c r="BN28" s="20">
        <v>506.9</v>
      </c>
      <c r="BO28" s="20">
        <v>257.22</v>
      </c>
      <c r="BP28" s="20">
        <v>335.7</v>
      </c>
      <c r="BQ28" s="20">
        <v>433.57</v>
      </c>
    </row>
    <row r="29" spans="1:69">
      <c r="A29" t="s">
        <v>81</v>
      </c>
      <c r="B29" t="s">
        <v>82</v>
      </c>
      <c r="C29" t="s">
        <v>52</v>
      </c>
      <c r="D29" s="17">
        <v>0.01960423800877931</v>
      </c>
      <c r="E29" s="17">
        <v>0.5950973954913548</v>
      </c>
      <c r="F29" s="20">
        <v>437.28</v>
      </c>
      <c r="P29" t="s">
        <v>176</v>
      </c>
      <c r="Q29" s="20">
        <v>354.13</v>
      </c>
      <c r="R29" s="20">
        <f>INDEX($S$29:$BQ$29,MATCH($I$7,$S$1:$BQ$1,0))</f>
        <v>334.88</v>
      </c>
      <c r="S29" s="20">
        <v>301.82</v>
      </c>
      <c r="T29" s="20">
        <v>318.62</v>
      </c>
      <c r="U29" s="20">
        <v>499.04</v>
      </c>
      <c r="V29" s="20">
        <v>296.46</v>
      </c>
      <c r="W29" s="20">
        <v>387.45</v>
      </c>
      <c r="X29" s="20">
        <v>625.1900000000001</v>
      </c>
      <c r="Y29" s="20">
        <v>225.72</v>
      </c>
      <c r="Z29" s="20">
        <v>270.26</v>
      </c>
      <c r="AA29" s="20">
        <v>612.73</v>
      </c>
      <c r="AB29" s="20">
        <v>453.6</v>
      </c>
      <c r="AC29" s="20">
        <v>339.87</v>
      </c>
      <c r="AD29" s="20">
        <v>338.88</v>
      </c>
      <c r="AE29" s="20">
        <v>579.22</v>
      </c>
      <c r="AF29" s="20">
        <v>246.67</v>
      </c>
      <c r="AG29" s="20">
        <v>286.8</v>
      </c>
      <c r="AH29" s="20">
        <v>302.88</v>
      </c>
      <c r="AI29" s="20">
        <v>319.51</v>
      </c>
      <c r="AJ29" s="20">
        <v>314.09</v>
      </c>
      <c r="AK29" s="20">
        <v>332.22</v>
      </c>
      <c r="AL29" s="20">
        <v>366.68</v>
      </c>
      <c r="AM29" s="20">
        <v>308.79</v>
      </c>
      <c r="AN29" s="20">
        <v>380.29</v>
      </c>
      <c r="AO29" s="20">
        <v>303.12</v>
      </c>
      <c r="AP29" s="20">
        <v>367.78</v>
      </c>
      <c r="AQ29" s="20">
        <v>265.24</v>
      </c>
      <c r="AR29" s="20">
        <v>317.62</v>
      </c>
      <c r="AS29" s="20">
        <v>594.23</v>
      </c>
      <c r="AT29" s="20">
        <v>349.6</v>
      </c>
      <c r="AU29" s="20">
        <v>372.8</v>
      </c>
      <c r="AV29" s="20">
        <v>358.76</v>
      </c>
      <c r="AW29" s="20">
        <v>314.9</v>
      </c>
      <c r="AX29" s="20">
        <v>329.59</v>
      </c>
      <c r="AY29" s="20">
        <v>315.28</v>
      </c>
      <c r="AZ29" s="20">
        <v>344.68</v>
      </c>
      <c r="BA29" s="20">
        <v>371.39</v>
      </c>
      <c r="BB29" s="20">
        <v>268.77</v>
      </c>
      <c r="BC29" s="20">
        <v>313.51</v>
      </c>
      <c r="BD29" s="20">
        <v>582.4400000000001</v>
      </c>
      <c r="BE29" s="20">
        <v>292.71</v>
      </c>
      <c r="BF29" s="20">
        <v>321.55</v>
      </c>
      <c r="BG29" s="20">
        <v>340.42</v>
      </c>
      <c r="BH29" s="20">
        <v>401.75</v>
      </c>
      <c r="BI29" s="20">
        <v>386.92</v>
      </c>
      <c r="BJ29" s="20">
        <v>389.04</v>
      </c>
      <c r="BK29" s="20">
        <v>650.71</v>
      </c>
      <c r="BL29" s="20">
        <v>323.71</v>
      </c>
      <c r="BM29" s="20">
        <v>334.88</v>
      </c>
      <c r="BN29" s="20">
        <v>528.47</v>
      </c>
      <c r="BO29" s="20">
        <v>262.96</v>
      </c>
      <c r="BP29" s="20">
        <v>345.17</v>
      </c>
      <c r="BQ29" s="20">
        <v>453.05</v>
      </c>
    </row>
    <row r="30" spans="1:69">
      <c r="A30" t="s">
        <v>83</v>
      </c>
      <c r="B30" t="s">
        <v>84</v>
      </c>
      <c r="C30" t="s">
        <v>21</v>
      </c>
      <c r="D30" s="17">
        <v>0.02666980244590778</v>
      </c>
      <c r="E30" s="17">
        <v>0.5813177953679274</v>
      </c>
      <c r="F30" s="20">
        <v>431.51</v>
      </c>
      <c r="P30" t="s">
        <v>177</v>
      </c>
      <c r="Q30" s="20">
        <v>369.14</v>
      </c>
      <c r="R30" s="20">
        <f>INDEX($S$30:$BQ$30,MATCH($I$7,$S$1:$BQ$1,0))</f>
        <v>348.75</v>
      </c>
      <c r="S30" s="20">
        <v>313.27</v>
      </c>
      <c r="T30" s="20">
        <v>323.02</v>
      </c>
      <c r="U30" s="20">
        <v>524.63</v>
      </c>
      <c r="V30" s="20">
        <v>305.3</v>
      </c>
      <c r="W30" s="20">
        <v>402.69</v>
      </c>
      <c r="X30" s="20">
        <v>663.4400000000001</v>
      </c>
      <c r="Y30" s="20">
        <v>234.42</v>
      </c>
      <c r="Z30" s="20">
        <v>280.42</v>
      </c>
      <c r="AA30" s="20">
        <v>632.24</v>
      </c>
      <c r="AB30" s="20">
        <v>482.74</v>
      </c>
      <c r="AC30" s="20">
        <v>356.71</v>
      </c>
      <c r="AD30" s="20">
        <v>349.01</v>
      </c>
      <c r="AE30" s="20">
        <v>603.36</v>
      </c>
      <c r="AF30" s="20">
        <v>254.91</v>
      </c>
      <c r="AG30" s="20">
        <v>297.69</v>
      </c>
      <c r="AH30" s="20">
        <v>312.14</v>
      </c>
      <c r="AI30" s="20">
        <v>331.7</v>
      </c>
      <c r="AJ30" s="20">
        <v>326.56</v>
      </c>
      <c r="AK30" s="20">
        <v>342.68</v>
      </c>
      <c r="AL30" s="20">
        <v>382.7</v>
      </c>
      <c r="AM30" s="20">
        <v>321.91</v>
      </c>
      <c r="AN30" s="20">
        <v>393.63</v>
      </c>
      <c r="AO30" s="20">
        <v>314.97</v>
      </c>
      <c r="AP30" s="20">
        <v>377.58</v>
      </c>
      <c r="AQ30" s="20">
        <v>272.66</v>
      </c>
      <c r="AR30" s="20">
        <v>329.73</v>
      </c>
      <c r="AS30" s="20">
        <v>626.3099999999999</v>
      </c>
      <c r="AT30" s="20">
        <v>360.71</v>
      </c>
      <c r="AU30" s="20">
        <v>392.02</v>
      </c>
      <c r="AV30" s="20">
        <v>378.91</v>
      </c>
      <c r="AW30" s="20">
        <v>326.35</v>
      </c>
      <c r="AX30" s="20">
        <v>341.96</v>
      </c>
      <c r="AY30" s="20">
        <v>328.22</v>
      </c>
      <c r="AZ30" s="20">
        <v>364.5</v>
      </c>
      <c r="BA30" s="20">
        <v>381</v>
      </c>
      <c r="BB30" s="20">
        <v>280</v>
      </c>
      <c r="BC30" s="20">
        <v>323.06</v>
      </c>
      <c r="BD30" s="20">
        <v>607.8099999999999</v>
      </c>
      <c r="BE30" s="20">
        <v>302.99</v>
      </c>
      <c r="BF30" s="20">
        <v>335.1</v>
      </c>
      <c r="BG30" s="20">
        <v>355.46</v>
      </c>
      <c r="BH30" s="20">
        <v>418.63</v>
      </c>
      <c r="BI30" s="20">
        <v>407.69</v>
      </c>
      <c r="BJ30" s="20">
        <v>404.85</v>
      </c>
      <c r="BK30" s="20">
        <v>685.95</v>
      </c>
      <c r="BL30" s="20">
        <v>338.11</v>
      </c>
      <c r="BM30" s="20">
        <v>348.75</v>
      </c>
      <c r="BN30" s="20">
        <v>553.97</v>
      </c>
      <c r="BO30" s="20">
        <v>273.26</v>
      </c>
      <c r="BP30" s="20">
        <v>357.81</v>
      </c>
      <c r="BQ30" s="20">
        <v>463.97</v>
      </c>
    </row>
    <row r="31" spans="1:69">
      <c r="A31" t="s">
        <v>85</v>
      </c>
      <c r="B31" t="s">
        <v>86</v>
      </c>
      <c r="C31" t="s">
        <v>35</v>
      </c>
      <c r="D31" s="17">
        <v>0.03109416251100039</v>
      </c>
      <c r="E31" s="17">
        <v>0.8316170646146881</v>
      </c>
      <c r="F31" s="20">
        <v>485.58</v>
      </c>
      <c r="P31" t="s">
        <v>178</v>
      </c>
      <c r="Q31" s="20">
        <v>380.82</v>
      </c>
      <c r="R31" s="20">
        <f>INDEX($S$31:$BQ$31,MATCH($I$7,$S$1:$BQ$1,0))</f>
        <v>356.95</v>
      </c>
      <c r="S31" s="20">
        <v>321.36</v>
      </c>
      <c r="T31" s="20">
        <v>332.36</v>
      </c>
      <c r="U31" s="20">
        <v>548.86</v>
      </c>
      <c r="V31" s="20">
        <v>315.55</v>
      </c>
      <c r="W31" s="20">
        <v>408.33</v>
      </c>
      <c r="X31" s="20">
        <v>677.23</v>
      </c>
      <c r="Y31" s="20">
        <v>241.39</v>
      </c>
      <c r="Z31" s="20">
        <v>292.66</v>
      </c>
      <c r="AA31" s="20">
        <v>639.61</v>
      </c>
      <c r="AB31" s="20">
        <v>509.6</v>
      </c>
      <c r="AC31" s="20">
        <v>373.09</v>
      </c>
      <c r="AD31" s="20">
        <v>359.81</v>
      </c>
      <c r="AE31" s="20">
        <v>621</v>
      </c>
      <c r="AF31" s="20">
        <v>260.25</v>
      </c>
      <c r="AG31" s="20">
        <v>306.98</v>
      </c>
      <c r="AH31" s="20">
        <v>323.8</v>
      </c>
      <c r="AI31" s="20">
        <v>341.21</v>
      </c>
      <c r="AJ31" s="20">
        <v>334.87</v>
      </c>
      <c r="AK31" s="20">
        <v>348.22</v>
      </c>
      <c r="AL31" s="20">
        <v>407.11</v>
      </c>
      <c r="AM31" s="20">
        <v>326.08</v>
      </c>
      <c r="AN31" s="20">
        <v>403.93</v>
      </c>
      <c r="AO31" s="20">
        <v>321.02</v>
      </c>
      <c r="AP31" s="20">
        <v>387.12</v>
      </c>
      <c r="AQ31" s="20">
        <v>280.74</v>
      </c>
      <c r="AR31" s="20">
        <v>339.66</v>
      </c>
      <c r="AS31" s="20">
        <v>651.4400000000001</v>
      </c>
      <c r="AT31" s="20">
        <v>370.03</v>
      </c>
      <c r="AU31" s="20">
        <v>405.1</v>
      </c>
      <c r="AV31" s="20">
        <v>386.68</v>
      </c>
      <c r="AW31" s="20">
        <v>335.93</v>
      </c>
      <c r="AX31" s="20">
        <v>356.98</v>
      </c>
      <c r="AY31" s="20">
        <v>339.62</v>
      </c>
      <c r="AZ31" s="20">
        <v>383.75</v>
      </c>
      <c r="BA31" s="20">
        <v>386.76</v>
      </c>
      <c r="BB31" s="20">
        <v>288.13</v>
      </c>
      <c r="BC31" s="20">
        <v>334.01</v>
      </c>
      <c r="BD31" s="20">
        <v>613.78</v>
      </c>
      <c r="BE31" s="20">
        <v>308.36</v>
      </c>
      <c r="BF31" s="20">
        <v>346.85</v>
      </c>
      <c r="BG31" s="20">
        <v>371.82</v>
      </c>
      <c r="BH31" s="20">
        <v>434.98</v>
      </c>
      <c r="BI31" s="20">
        <v>424.69</v>
      </c>
      <c r="BJ31" s="20">
        <v>423.51</v>
      </c>
      <c r="BK31" s="20">
        <v>702.24</v>
      </c>
      <c r="BL31" s="20">
        <v>348.67</v>
      </c>
      <c r="BM31" s="20">
        <v>356.95</v>
      </c>
      <c r="BN31" s="20">
        <v>563.48</v>
      </c>
      <c r="BO31" s="20">
        <v>281.16</v>
      </c>
      <c r="BP31" s="20">
        <v>368.96</v>
      </c>
      <c r="BQ31" s="20">
        <v>482.6</v>
      </c>
    </row>
    <row r="32" spans="1:69">
      <c r="A32" t="s">
        <v>87</v>
      </c>
      <c r="B32" t="s">
        <v>88</v>
      </c>
      <c r="C32" t="s">
        <v>35</v>
      </c>
      <c r="D32" s="17">
        <v>0.04530162141955985</v>
      </c>
      <c r="E32" s="17">
        <v>0.8171407462135205</v>
      </c>
      <c r="F32" s="20">
        <v>442.71</v>
      </c>
      <c r="P32" t="s">
        <v>179</v>
      </c>
      <c r="Q32" s="20">
        <v>380.39</v>
      </c>
      <c r="R32" s="20">
        <f>INDEX($S$32:$BQ$32,MATCH($I$7,$S$1:$BQ$1,0))</f>
        <v>358.35</v>
      </c>
      <c r="S32" s="20">
        <v>327.41</v>
      </c>
      <c r="T32" s="20">
        <v>339.11</v>
      </c>
      <c r="U32" s="20">
        <v>536.3</v>
      </c>
      <c r="V32" s="20">
        <v>320.97</v>
      </c>
      <c r="W32" s="20">
        <v>398.4</v>
      </c>
      <c r="X32" s="20">
        <v>659.5599999999999</v>
      </c>
      <c r="Y32" s="20">
        <v>243.43</v>
      </c>
      <c r="Z32" s="20">
        <v>283.91</v>
      </c>
      <c r="AA32" s="20">
        <v>621.6900000000001</v>
      </c>
      <c r="AB32" s="20">
        <v>515.67</v>
      </c>
      <c r="AC32" s="20">
        <v>374.37</v>
      </c>
      <c r="AD32" s="20">
        <v>364.15</v>
      </c>
      <c r="AE32" s="20">
        <v>603.17</v>
      </c>
      <c r="AF32" s="20">
        <v>261.32</v>
      </c>
      <c r="AG32" s="20">
        <v>310.81</v>
      </c>
      <c r="AH32" s="20">
        <v>326.09</v>
      </c>
      <c r="AI32" s="20">
        <v>342.39</v>
      </c>
      <c r="AJ32" s="20">
        <v>334.55</v>
      </c>
      <c r="AK32" s="20">
        <v>349.81</v>
      </c>
      <c r="AL32" s="20">
        <v>404.74</v>
      </c>
      <c r="AM32" s="20">
        <v>324.77</v>
      </c>
      <c r="AN32" s="20">
        <v>399.11</v>
      </c>
      <c r="AO32" s="20">
        <v>320.65</v>
      </c>
      <c r="AP32" s="20">
        <v>383.74</v>
      </c>
      <c r="AQ32" s="20">
        <v>287.22</v>
      </c>
      <c r="AR32" s="20">
        <v>341.13</v>
      </c>
      <c r="AS32" s="20">
        <v>647.2</v>
      </c>
      <c r="AT32" s="20">
        <v>372.89</v>
      </c>
      <c r="AU32" s="20">
        <v>388.52</v>
      </c>
      <c r="AV32" s="20">
        <v>386.6</v>
      </c>
      <c r="AW32" s="20">
        <v>340.18</v>
      </c>
      <c r="AX32" s="20">
        <v>358.98</v>
      </c>
      <c r="AY32" s="20">
        <v>338.63</v>
      </c>
      <c r="AZ32" s="20">
        <v>384.54</v>
      </c>
      <c r="BA32" s="20">
        <v>391.53</v>
      </c>
      <c r="BB32" s="20">
        <v>288.38</v>
      </c>
      <c r="BC32" s="20">
        <v>336.47</v>
      </c>
      <c r="BD32" s="20">
        <v>605.8</v>
      </c>
      <c r="BE32" s="20">
        <v>310.38</v>
      </c>
      <c r="BF32" s="20">
        <v>346.12</v>
      </c>
      <c r="BG32" s="20">
        <v>379.64</v>
      </c>
      <c r="BH32" s="20">
        <v>440.63</v>
      </c>
      <c r="BI32" s="20">
        <v>428.17</v>
      </c>
      <c r="BJ32" s="20">
        <v>423.58</v>
      </c>
      <c r="BK32" s="20">
        <v>682.61</v>
      </c>
      <c r="BL32" s="20">
        <v>353.08</v>
      </c>
      <c r="BM32" s="20">
        <v>358.35</v>
      </c>
      <c r="BN32" s="20">
        <v>554.47</v>
      </c>
      <c r="BO32" s="20">
        <v>278.4</v>
      </c>
      <c r="BP32" s="20">
        <v>372.27</v>
      </c>
      <c r="BQ32" s="20">
        <v>486.5</v>
      </c>
    </row>
    <row r="33" spans="1:69">
      <c r="A33" t="s">
        <v>90</v>
      </c>
      <c r="B33" t="s">
        <v>91</v>
      </c>
      <c r="C33" t="s">
        <v>21</v>
      </c>
      <c r="D33" s="17">
        <v>-0.01170413100998779</v>
      </c>
      <c r="E33" s="17">
        <v>0.5923688518200951</v>
      </c>
      <c r="F33" s="20">
        <v>408.57</v>
      </c>
      <c r="P33" t="s">
        <v>180</v>
      </c>
      <c r="Q33" s="20">
        <v>381.31</v>
      </c>
      <c r="R33" s="20">
        <f>INDEX($S$33:$BQ$33,MATCH($I$7,$S$1:$BQ$1,0))</f>
        <v>362.94</v>
      </c>
      <c r="S33" s="20">
        <v>331.07</v>
      </c>
      <c r="T33" s="20">
        <v>336.43</v>
      </c>
      <c r="U33" s="20">
        <v>524.86</v>
      </c>
      <c r="V33" s="20">
        <v>324.22</v>
      </c>
      <c r="W33" s="20">
        <v>392.57</v>
      </c>
      <c r="X33" s="20">
        <v>654.8099999999999</v>
      </c>
      <c r="Y33" s="20">
        <v>245.7</v>
      </c>
      <c r="Z33" s="20">
        <v>303.01</v>
      </c>
      <c r="AA33" s="20">
        <v>587.39</v>
      </c>
      <c r="AB33" s="20">
        <v>512.78</v>
      </c>
      <c r="AC33" s="20">
        <v>377.66</v>
      </c>
      <c r="AD33" s="20">
        <v>393.1</v>
      </c>
      <c r="AE33" s="20">
        <v>593.5</v>
      </c>
      <c r="AF33" s="20">
        <v>263.7</v>
      </c>
      <c r="AG33" s="20">
        <v>312.23</v>
      </c>
      <c r="AH33" s="20">
        <v>328.34</v>
      </c>
      <c r="AI33" s="20">
        <v>346.14</v>
      </c>
      <c r="AJ33" s="20">
        <v>343.88</v>
      </c>
      <c r="AK33" s="20">
        <v>347.99</v>
      </c>
      <c r="AL33" s="20">
        <v>413.97</v>
      </c>
      <c r="AM33" s="20">
        <v>327.55</v>
      </c>
      <c r="AN33" s="20">
        <v>400.02</v>
      </c>
      <c r="AO33" s="20">
        <v>322.35</v>
      </c>
      <c r="AP33" s="20">
        <v>384.37</v>
      </c>
      <c r="AQ33" s="20">
        <v>285.36</v>
      </c>
      <c r="AR33" s="20">
        <v>344.21</v>
      </c>
      <c r="AS33" s="20">
        <v>655.78</v>
      </c>
      <c r="AT33" s="20">
        <v>378.88</v>
      </c>
      <c r="AU33" s="20">
        <v>383.59</v>
      </c>
      <c r="AV33" s="20">
        <v>392.63</v>
      </c>
      <c r="AW33" s="20">
        <v>340.93</v>
      </c>
      <c r="AX33" s="20">
        <v>361.9</v>
      </c>
      <c r="AY33" s="20">
        <v>339.59</v>
      </c>
      <c r="AZ33" s="20">
        <v>389.05</v>
      </c>
      <c r="BA33" s="20">
        <v>393.52</v>
      </c>
      <c r="BB33" s="20">
        <v>291.19</v>
      </c>
      <c r="BC33" s="20">
        <v>343.54</v>
      </c>
      <c r="BD33" s="20">
        <v>602.6</v>
      </c>
      <c r="BE33" s="20">
        <v>314.1</v>
      </c>
      <c r="BF33" s="20">
        <v>339.34</v>
      </c>
      <c r="BG33" s="20">
        <v>381.01</v>
      </c>
      <c r="BH33" s="20">
        <v>438.66</v>
      </c>
      <c r="BI33" s="20">
        <v>426.74</v>
      </c>
      <c r="BJ33" s="20">
        <v>424.24</v>
      </c>
      <c r="BK33" s="20">
        <v>671.79</v>
      </c>
      <c r="BL33" s="20">
        <v>355.05</v>
      </c>
      <c r="BM33" s="20">
        <v>362.94</v>
      </c>
      <c r="BN33" s="20">
        <v>545.41</v>
      </c>
      <c r="BO33" s="20">
        <v>278.66</v>
      </c>
      <c r="BP33" s="20">
        <v>378.55</v>
      </c>
      <c r="BQ33" s="20">
        <v>486.9</v>
      </c>
    </row>
    <row r="34" spans="1:69">
      <c r="A34" t="s">
        <v>92</v>
      </c>
      <c r="B34" t="s">
        <v>93</v>
      </c>
      <c r="C34" t="s">
        <v>35</v>
      </c>
      <c r="D34" s="17">
        <v>0.03549945531189325</v>
      </c>
      <c r="E34" s="17">
        <v>0.7117073949848267</v>
      </c>
      <c r="F34" s="20">
        <v>428.68</v>
      </c>
      <c r="P34" t="s">
        <v>181</v>
      </c>
      <c r="Q34" s="20">
        <v>384.24</v>
      </c>
      <c r="R34" s="20">
        <f>INDEX($S$34:$BQ$34,MATCH($I$7,$S$1:$BQ$1,0))</f>
        <v>368.55</v>
      </c>
      <c r="S34" s="20">
        <v>336.37</v>
      </c>
      <c r="T34" s="20">
        <v>343.41</v>
      </c>
      <c r="U34" s="20">
        <v>526.66</v>
      </c>
      <c r="V34" s="20">
        <v>330.47</v>
      </c>
      <c r="W34" s="20">
        <v>390.63</v>
      </c>
      <c r="X34" s="20">
        <v>653.01</v>
      </c>
      <c r="Y34" s="20">
        <v>252.31</v>
      </c>
      <c r="Z34" s="20">
        <v>294.5</v>
      </c>
      <c r="AA34" s="20">
        <v>610.21</v>
      </c>
      <c r="AB34" s="20">
        <v>517.98</v>
      </c>
      <c r="AC34" s="20">
        <v>378.49</v>
      </c>
      <c r="AD34" s="20">
        <v>365.81</v>
      </c>
      <c r="AE34" s="20">
        <v>591.08</v>
      </c>
      <c r="AF34" s="20">
        <v>266.79</v>
      </c>
      <c r="AG34" s="20">
        <v>316.28</v>
      </c>
      <c r="AH34" s="20">
        <v>334.79</v>
      </c>
      <c r="AI34" s="20">
        <v>348.02</v>
      </c>
      <c r="AJ34" s="20">
        <v>350.67</v>
      </c>
      <c r="AK34" s="20">
        <v>346.19</v>
      </c>
      <c r="AL34" s="20">
        <v>416.21</v>
      </c>
      <c r="AM34" s="20">
        <v>328.43</v>
      </c>
      <c r="AN34" s="20">
        <v>405.03</v>
      </c>
      <c r="AO34" s="20">
        <v>327.59</v>
      </c>
      <c r="AP34" s="20">
        <v>387.65</v>
      </c>
      <c r="AQ34" s="20">
        <v>292.29</v>
      </c>
      <c r="AR34" s="20">
        <v>348.1</v>
      </c>
      <c r="AS34" s="20">
        <v>662.15</v>
      </c>
      <c r="AT34" s="20">
        <v>384.21</v>
      </c>
      <c r="AU34" s="20">
        <v>375.12</v>
      </c>
      <c r="AV34" s="20">
        <v>400.48</v>
      </c>
      <c r="AW34" s="20">
        <v>346.8</v>
      </c>
      <c r="AX34" s="20">
        <v>366.99</v>
      </c>
      <c r="AY34" s="20">
        <v>343</v>
      </c>
      <c r="AZ34" s="20">
        <v>393.28</v>
      </c>
      <c r="BA34" s="20">
        <v>397.66</v>
      </c>
      <c r="BB34" s="20">
        <v>296.65</v>
      </c>
      <c r="BC34" s="20">
        <v>345.73</v>
      </c>
      <c r="BD34" s="20">
        <v>595.3099999999999</v>
      </c>
      <c r="BE34" s="20">
        <v>317.3</v>
      </c>
      <c r="BF34" s="20">
        <v>360.19</v>
      </c>
      <c r="BG34" s="20">
        <v>388.01</v>
      </c>
      <c r="BH34" s="20">
        <v>452.06</v>
      </c>
      <c r="BI34" s="20">
        <v>433.58</v>
      </c>
      <c r="BJ34" s="20">
        <v>424.51</v>
      </c>
      <c r="BK34" s="20">
        <v>658.0599999999999</v>
      </c>
      <c r="BL34" s="20">
        <v>360.85</v>
      </c>
      <c r="BM34" s="20">
        <v>368.55</v>
      </c>
      <c r="BN34" s="20">
        <v>541.64</v>
      </c>
      <c r="BO34" s="20">
        <v>286.45</v>
      </c>
      <c r="BP34" s="20">
        <v>383.78</v>
      </c>
      <c r="BQ34" s="20">
        <v>492.66</v>
      </c>
    </row>
    <row r="35" spans="1:69">
      <c r="A35" t="s">
        <v>94</v>
      </c>
      <c r="B35" t="s">
        <v>95</v>
      </c>
      <c r="C35" t="s">
        <v>17</v>
      </c>
      <c r="D35" s="17">
        <v>0.003763974035340789</v>
      </c>
      <c r="E35" s="17">
        <v>0.7290591895404246</v>
      </c>
      <c r="F35" s="20">
        <v>439.06</v>
      </c>
      <c r="P35" t="s">
        <v>182</v>
      </c>
      <c r="Q35" s="20">
        <v>391.53</v>
      </c>
      <c r="R35" s="20">
        <f>INDEX($S$35:$BQ$35,MATCH($I$7,$S$1:$BQ$1,0))</f>
        <v>374.55</v>
      </c>
      <c r="S35" s="20">
        <v>335.21</v>
      </c>
      <c r="T35" s="20">
        <v>345.92</v>
      </c>
      <c r="U35" s="20">
        <v>532.66</v>
      </c>
      <c r="V35" s="20">
        <v>333.71</v>
      </c>
      <c r="W35" s="20">
        <v>399.98</v>
      </c>
      <c r="X35" s="20">
        <v>661.8</v>
      </c>
      <c r="Y35" s="20">
        <v>260.15</v>
      </c>
      <c r="Z35" s="20">
        <v>300.73</v>
      </c>
      <c r="AA35" s="20">
        <v>604.97</v>
      </c>
      <c r="AB35" s="20">
        <v>525.2</v>
      </c>
      <c r="AC35" s="20">
        <v>389.42</v>
      </c>
      <c r="AD35" s="20">
        <v>382.36</v>
      </c>
      <c r="AE35" s="20">
        <v>598.52</v>
      </c>
      <c r="AF35" s="20">
        <v>273.58</v>
      </c>
      <c r="AG35" s="20">
        <v>324.46</v>
      </c>
      <c r="AH35" s="20">
        <v>337.03</v>
      </c>
      <c r="AI35" s="20">
        <v>357.95</v>
      </c>
      <c r="AJ35" s="20">
        <v>353.46</v>
      </c>
      <c r="AK35" s="20">
        <v>352.32</v>
      </c>
      <c r="AL35" s="20">
        <v>432.78</v>
      </c>
      <c r="AM35" s="20">
        <v>339.77</v>
      </c>
      <c r="AN35" s="20">
        <v>416.84</v>
      </c>
      <c r="AO35" s="20">
        <v>335.27</v>
      </c>
      <c r="AP35" s="20">
        <v>396.24</v>
      </c>
      <c r="AQ35" s="20">
        <v>294.85</v>
      </c>
      <c r="AR35" s="20">
        <v>357.27</v>
      </c>
      <c r="AS35" s="20">
        <v>674.38</v>
      </c>
      <c r="AT35" s="20">
        <v>389.62</v>
      </c>
      <c r="AU35" s="20">
        <v>382.77</v>
      </c>
      <c r="AV35" s="20">
        <v>411.79</v>
      </c>
      <c r="AW35" s="20">
        <v>358.96</v>
      </c>
      <c r="AX35" s="20">
        <v>370.36</v>
      </c>
      <c r="AY35" s="20">
        <v>352.78</v>
      </c>
      <c r="AZ35" s="20">
        <v>400.92</v>
      </c>
      <c r="BA35" s="20">
        <v>403.98</v>
      </c>
      <c r="BB35" s="20">
        <v>303.44</v>
      </c>
      <c r="BC35" s="20">
        <v>351.94</v>
      </c>
      <c r="BD35" s="20">
        <v>603.86</v>
      </c>
      <c r="BE35" s="20">
        <v>323.75</v>
      </c>
      <c r="BF35" s="20">
        <v>362.44</v>
      </c>
      <c r="BG35" s="20">
        <v>394.97</v>
      </c>
      <c r="BH35" s="20">
        <v>456.18</v>
      </c>
      <c r="BI35" s="20">
        <v>437.36</v>
      </c>
      <c r="BJ35" s="20">
        <v>427.98</v>
      </c>
      <c r="BK35" s="20">
        <v>668.88</v>
      </c>
      <c r="BL35" s="20">
        <v>373.41</v>
      </c>
      <c r="BM35" s="20">
        <v>374.55</v>
      </c>
      <c r="BN35" s="20">
        <v>545.37</v>
      </c>
      <c r="BO35" s="20">
        <v>287.02</v>
      </c>
      <c r="BP35" s="20">
        <v>393.47</v>
      </c>
      <c r="BQ35" s="20">
        <v>497.7</v>
      </c>
    </row>
    <row r="36" spans="1:69">
      <c r="A36" t="s">
        <v>96</v>
      </c>
      <c r="B36" t="s">
        <v>97</v>
      </c>
      <c r="C36" t="s">
        <v>52</v>
      </c>
      <c r="D36" s="17">
        <v>0.04824042006479723</v>
      </c>
      <c r="E36" s="17">
        <v>0.4666730025977317</v>
      </c>
      <c r="F36" s="20">
        <v>462.97</v>
      </c>
      <c r="P36" t="s">
        <v>183</v>
      </c>
      <c r="Q36" s="20">
        <v>400</v>
      </c>
      <c r="R36" s="20">
        <f>INDEX($S$36:$BQ$36,MATCH($I$7,$S$1:$BQ$1,0))</f>
        <v>383.48</v>
      </c>
      <c r="S36" s="20">
        <v>345.4</v>
      </c>
      <c r="T36" s="20">
        <v>348.39</v>
      </c>
      <c r="U36" s="20">
        <v>545.4</v>
      </c>
      <c r="V36" s="20">
        <v>337.5</v>
      </c>
      <c r="W36" s="20">
        <v>407.27</v>
      </c>
      <c r="X36" s="20">
        <v>673.72</v>
      </c>
      <c r="Y36" s="20">
        <v>267.03</v>
      </c>
      <c r="Z36" s="20">
        <v>307.2</v>
      </c>
      <c r="AA36" s="20">
        <v>610.77</v>
      </c>
      <c r="AB36" s="20">
        <v>540.3099999999999</v>
      </c>
      <c r="AC36" s="20">
        <v>398.43</v>
      </c>
      <c r="AD36" s="20">
        <v>367.24</v>
      </c>
      <c r="AE36" s="20">
        <v>603.75</v>
      </c>
      <c r="AF36" s="20">
        <v>280.65</v>
      </c>
      <c r="AG36" s="20">
        <v>328.97</v>
      </c>
      <c r="AH36" s="20">
        <v>343.33</v>
      </c>
      <c r="AI36" s="20">
        <v>367.6</v>
      </c>
      <c r="AJ36" s="20">
        <v>358.88</v>
      </c>
      <c r="AK36" s="20">
        <v>354.92</v>
      </c>
      <c r="AL36" s="20">
        <v>448.95</v>
      </c>
      <c r="AM36" s="20">
        <v>345.37</v>
      </c>
      <c r="AN36" s="20">
        <v>426.83</v>
      </c>
      <c r="AO36" s="20">
        <v>344.37</v>
      </c>
      <c r="AP36" s="20">
        <v>399.33</v>
      </c>
      <c r="AQ36" s="20">
        <v>294.22</v>
      </c>
      <c r="AR36" s="20">
        <v>364.27</v>
      </c>
      <c r="AS36" s="20">
        <v>674.73</v>
      </c>
      <c r="AT36" s="20">
        <v>399</v>
      </c>
      <c r="AU36" s="20">
        <v>393</v>
      </c>
      <c r="AV36" s="20">
        <v>422.9</v>
      </c>
      <c r="AW36" s="20">
        <v>370.95</v>
      </c>
      <c r="AX36" s="20">
        <v>381.3</v>
      </c>
      <c r="AY36" s="20">
        <v>364.73</v>
      </c>
      <c r="AZ36" s="20">
        <v>411.97</v>
      </c>
      <c r="BA36" s="20">
        <v>401.49</v>
      </c>
      <c r="BB36" s="20">
        <v>310.4</v>
      </c>
      <c r="BC36" s="20">
        <v>357.51</v>
      </c>
      <c r="BD36" s="20">
        <v>611.86</v>
      </c>
      <c r="BE36" s="20">
        <v>331.85</v>
      </c>
      <c r="BF36" s="20">
        <v>376.09</v>
      </c>
      <c r="BG36" s="20">
        <v>404.59</v>
      </c>
      <c r="BH36" s="20">
        <v>461.4</v>
      </c>
      <c r="BI36" s="20">
        <v>444.56</v>
      </c>
      <c r="BJ36" s="20">
        <v>434.27</v>
      </c>
      <c r="BK36" s="20">
        <v>682.85</v>
      </c>
      <c r="BL36" s="20">
        <v>403.23</v>
      </c>
      <c r="BM36" s="20">
        <v>383.48</v>
      </c>
      <c r="BN36" s="20">
        <v>557.53</v>
      </c>
      <c r="BO36" s="20">
        <v>296.97</v>
      </c>
      <c r="BP36" s="20">
        <v>404.82</v>
      </c>
      <c r="BQ36" s="20">
        <v>505.35</v>
      </c>
    </row>
    <row r="37" spans="1:69">
      <c r="A37" t="s">
        <v>98</v>
      </c>
      <c r="B37" t="s">
        <v>99</v>
      </c>
      <c r="C37" t="s">
        <v>52</v>
      </c>
      <c r="D37" s="17">
        <v>0.04330832215913949</v>
      </c>
      <c r="E37" s="17">
        <v>0.7039760865439362</v>
      </c>
      <c r="F37" s="20">
        <v>359.13</v>
      </c>
      <c r="P37" t="s">
        <v>184</v>
      </c>
      <c r="Q37" s="20">
        <v>404.65</v>
      </c>
      <c r="R37" s="20">
        <f>INDEX($S$37:$BQ$37,MATCH($I$7,$S$1:$BQ$1,0))</f>
        <v>389.05</v>
      </c>
      <c r="S37" s="20">
        <v>344.66</v>
      </c>
      <c r="T37" s="20">
        <v>358.43</v>
      </c>
      <c r="U37" s="20">
        <v>554.88</v>
      </c>
      <c r="V37" s="20">
        <v>342.47</v>
      </c>
      <c r="W37" s="20">
        <v>411.59</v>
      </c>
      <c r="X37" s="20">
        <v>674.5700000000001</v>
      </c>
      <c r="Y37" s="20">
        <v>273.6</v>
      </c>
      <c r="Z37" s="20">
        <v>316.61</v>
      </c>
      <c r="AA37" s="20">
        <v>599.1900000000001</v>
      </c>
      <c r="AB37" s="20">
        <v>544.51</v>
      </c>
      <c r="AC37" s="20">
        <v>401.99</v>
      </c>
      <c r="AD37" s="20">
        <v>379.99</v>
      </c>
      <c r="AE37" s="20">
        <v>606.23</v>
      </c>
      <c r="AF37" s="20">
        <v>286.1</v>
      </c>
      <c r="AG37" s="20">
        <v>334.74</v>
      </c>
      <c r="AH37" s="20">
        <v>347.35</v>
      </c>
      <c r="AI37" s="20">
        <v>373.23</v>
      </c>
      <c r="AJ37" s="20">
        <v>364.01</v>
      </c>
      <c r="AK37" s="20">
        <v>354.12</v>
      </c>
      <c r="AL37" s="20">
        <v>440.87</v>
      </c>
      <c r="AM37" s="20">
        <v>344.94</v>
      </c>
      <c r="AN37" s="20">
        <v>435.23</v>
      </c>
      <c r="AO37" s="20">
        <v>350.6</v>
      </c>
      <c r="AP37" s="20">
        <v>400.54</v>
      </c>
      <c r="AQ37" s="20">
        <v>315.6</v>
      </c>
      <c r="AR37" s="20">
        <v>368.74</v>
      </c>
      <c r="AS37" s="20">
        <v>682.14</v>
      </c>
      <c r="AT37" s="20">
        <v>396.63</v>
      </c>
      <c r="AU37" s="20">
        <v>396.78</v>
      </c>
      <c r="AV37" s="20">
        <v>428.66</v>
      </c>
      <c r="AW37" s="20">
        <v>379.49</v>
      </c>
      <c r="AX37" s="20">
        <v>381.01</v>
      </c>
      <c r="AY37" s="20">
        <v>371.32</v>
      </c>
      <c r="AZ37" s="20">
        <v>412.41</v>
      </c>
      <c r="BA37" s="20">
        <v>414.14</v>
      </c>
      <c r="BB37" s="20">
        <v>316.23</v>
      </c>
      <c r="BC37" s="20">
        <v>357.85</v>
      </c>
      <c r="BD37" s="20">
        <v>608.48</v>
      </c>
      <c r="BE37" s="20">
        <v>336.1</v>
      </c>
      <c r="BF37" s="20">
        <v>386.07</v>
      </c>
      <c r="BG37" s="20">
        <v>413.87</v>
      </c>
      <c r="BH37" s="20">
        <v>467.14</v>
      </c>
      <c r="BI37" s="20">
        <v>453.52</v>
      </c>
      <c r="BJ37" s="20">
        <v>434.58</v>
      </c>
      <c r="BK37" s="20">
        <v>685.25</v>
      </c>
      <c r="BL37" s="20">
        <v>393.57</v>
      </c>
      <c r="BM37" s="20">
        <v>389.05</v>
      </c>
      <c r="BN37" s="20">
        <v>564.0599999999999</v>
      </c>
      <c r="BO37" s="20">
        <v>313.23</v>
      </c>
      <c r="BP37" s="20">
        <v>411.52</v>
      </c>
      <c r="BQ37" s="20">
        <v>500.17</v>
      </c>
    </row>
    <row r="38" spans="1:69">
      <c r="A38" t="s">
        <v>100</v>
      </c>
      <c r="B38" t="s">
        <v>101</v>
      </c>
      <c r="C38" t="s">
        <v>17</v>
      </c>
      <c r="D38" s="17">
        <v>0.01923228708989977</v>
      </c>
      <c r="E38" s="17">
        <v>0.5471461510456697</v>
      </c>
      <c r="F38" s="20">
        <v>382.47</v>
      </c>
      <c r="P38" t="s">
        <v>185</v>
      </c>
      <c r="Q38" s="20">
        <v>408.9</v>
      </c>
      <c r="R38" s="20">
        <f>INDEX($S$38:$BQ$38,MATCH($I$7,$S$1:$BQ$1,0))</f>
        <v>392.23</v>
      </c>
      <c r="S38" s="20">
        <v>347.6</v>
      </c>
      <c r="T38" s="20">
        <v>356.39</v>
      </c>
      <c r="U38" s="20">
        <v>553.05</v>
      </c>
      <c r="V38" s="20">
        <v>347.61</v>
      </c>
      <c r="W38" s="20">
        <v>414.19</v>
      </c>
      <c r="X38" s="20">
        <v>676.51</v>
      </c>
      <c r="Y38" s="20">
        <v>275.88</v>
      </c>
      <c r="Z38" s="20">
        <v>327.03</v>
      </c>
      <c r="AA38" s="20">
        <v>595.99</v>
      </c>
      <c r="AB38" s="20">
        <v>546.8</v>
      </c>
      <c r="AC38" s="20">
        <v>406.24</v>
      </c>
      <c r="AD38" s="20">
        <v>401.63</v>
      </c>
      <c r="AE38" s="20">
        <v>614.89</v>
      </c>
      <c r="AF38" s="20">
        <v>291.88</v>
      </c>
      <c r="AG38" s="20">
        <v>340.41</v>
      </c>
      <c r="AH38" s="20">
        <v>352.77</v>
      </c>
      <c r="AI38" s="20">
        <v>381.13</v>
      </c>
      <c r="AJ38" s="20">
        <v>369.26</v>
      </c>
      <c r="AK38" s="20">
        <v>353.32</v>
      </c>
      <c r="AL38" s="20">
        <v>456.68</v>
      </c>
      <c r="AM38" s="20">
        <v>349.49</v>
      </c>
      <c r="AN38" s="20">
        <v>440.45</v>
      </c>
      <c r="AO38" s="20">
        <v>354.23</v>
      </c>
      <c r="AP38" s="20">
        <v>406.24</v>
      </c>
      <c r="AQ38" s="20">
        <v>298.01</v>
      </c>
      <c r="AR38" s="20">
        <v>375.71</v>
      </c>
      <c r="AS38" s="20">
        <v>693.37</v>
      </c>
      <c r="AT38" s="20">
        <v>408.92</v>
      </c>
      <c r="AU38" s="20">
        <v>407.15</v>
      </c>
      <c r="AV38" s="20">
        <v>438.73</v>
      </c>
      <c r="AW38" s="20">
        <v>388.48</v>
      </c>
      <c r="AX38" s="20">
        <v>389.21</v>
      </c>
      <c r="AY38" s="20">
        <v>379.46</v>
      </c>
      <c r="AZ38" s="20">
        <v>418.69</v>
      </c>
      <c r="BA38" s="20">
        <v>413.59</v>
      </c>
      <c r="BB38" s="20">
        <v>319.41</v>
      </c>
      <c r="BC38" s="20">
        <v>363.02</v>
      </c>
      <c r="BD38" s="20">
        <v>617.5700000000001</v>
      </c>
      <c r="BE38" s="20">
        <v>340.06</v>
      </c>
      <c r="BF38" s="20">
        <v>385.94</v>
      </c>
      <c r="BG38" s="20">
        <v>420.77</v>
      </c>
      <c r="BH38" s="20">
        <v>468.68</v>
      </c>
      <c r="BI38" s="20">
        <v>457.33</v>
      </c>
      <c r="BJ38" s="20">
        <v>437.36</v>
      </c>
      <c r="BK38" s="20">
        <v>691.79</v>
      </c>
      <c r="BL38" s="20">
        <v>407.49</v>
      </c>
      <c r="BM38" s="20">
        <v>392.23</v>
      </c>
      <c r="BN38" s="20">
        <v>565.92</v>
      </c>
      <c r="BO38" s="20">
        <v>295.49</v>
      </c>
      <c r="BP38" s="20">
        <v>420.45</v>
      </c>
      <c r="BQ38" s="20">
        <v>519.23</v>
      </c>
    </row>
    <row r="39" spans="1:69">
      <c r="A39" t="s">
        <v>102</v>
      </c>
      <c r="B39" t="s">
        <v>103</v>
      </c>
      <c r="C39" t="s">
        <v>21</v>
      </c>
      <c r="D39" s="17">
        <v>0.002396016036081416</v>
      </c>
      <c r="E39" s="17">
        <v>0.4179437483097448</v>
      </c>
      <c r="F39" s="20">
        <v>629.17</v>
      </c>
      <c r="P39" t="s">
        <v>186</v>
      </c>
      <c r="Q39" s="20">
        <v>413.84</v>
      </c>
      <c r="R39" s="20">
        <f>INDEX($S$39:$BQ$39,MATCH($I$7,$S$1:$BQ$1,0))</f>
        <v>402.12</v>
      </c>
      <c r="S39" s="20">
        <v>353.44</v>
      </c>
      <c r="T39" s="20">
        <v>364.22</v>
      </c>
      <c r="U39" s="20">
        <v>562.26</v>
      </c>
      <c r="V39" s="20">
        <v>351.62</v>
      </c>
      <c r="W39" s="20">
        <v>416.5</v>
      </c>
      <c r="X39" s="20">
        <v>681.26</v>
      </c>
      <c r="Y39" s="20">
        <v>283.18</v>
      </c>
      <c r="Z39" s="20">
        <v>328.95</v>
      </c>
      <c r="AA39" s="20">
        <v>624.47</v>
      </c>
      <c r="AB39" s="20">
        <v>549.83</v>
      </c>
      <c r="AC39" s="20">
        <v>412.22</v>
      </c>
      <c r="AD39" s="20">
        <v>390.02</v>
      </c>
      <c r="AE39" s="20">
        <v>606.23</v>
      </c>
      <c r="AF39" s="20">
        <v>295.61</v>
      </c>
      <c r="AG39" s="20">
        <v>344.9</v>
      </c>
      <c r="AH39" s="20">
        <v>356.36</v>
      </c>
      <c r="AI39" s="20">
        <v>383.07</v>
      </c>
      <c r="AJ39" s="20">
        <v>376.28</v>
      </c>
      <c r="AK39" s="20">
        <v>357.47</v>
      </c>
      <c r="AL39" s="20">
        <v>462.42</v>
      </c>
      <c r="AM39" s="20">
        <v>353.45</v>
      </c>
      <c r="AN39" s="20">
        <v>444.66</v>
      </c>
      <c r="AO39" s="20">
        <v>361.81</v>
      </c>
      <c r="AP39" s="20">
        <v>409.35</v>
      </c>
      <c r="AQ39" s="20">
        <v>304.43</v>
      </c>
      <c r="AR39" s="20">
        <v>380.67</v>
      </c>
      <c r="AS39" s="20">
        <v>703.6799999999999</v>
      </c>
      <c r="AT39" s="20">
        <v>415.15</v>
      </c>
      <c r="AU39" s="20">
        <v>409.85</v>
      </c>
      <c r="AV39" s="20">
        <v>443.33</v>
      </c>
      <c r="AW39" s="20">
        <v>393.6</v>
      </c>
      <c r="AX39" s="20">
        <v>392.57</v>
      </c>
      <c r="AY39" s="20">
        <v>384.63</v>
      </c>
      <c r="AZ39" s="20">
        <v>423.92</v>
      </c>
      <c r="BA39" s="20">
        <v>416.45</v>
      </c>
      <c r="BB39" s="20">
        <v>326.14</v>
      </c>
      <c r="BC39" s="20">
        <v>366.42</v>
      </c>
      <c r="BD39" s="20">
        <v>618.9</v>
      </c>
      <c r="BE39" s="20">
        <v>347.07</v>
      </c>
      <c r="BF39" s="20">
        <v>397.47</v>
      </c>
      <c r="BG39" s="20">
        <v>423.3</v>
      </c>
      <c r="BH39" s="20">
        <v>475.11</v>
      </c>
      <c r="BI39" s="20">
        <v>460.89</v>
      </c>
      <c r="BJ39" s="20">
        <v>439.95</v>
      </c>
      <c r="BK39" s="20">
        <v>698.25</v>
      </c>
      <c r="BL39" s="20">
        <v>418.47</v>
      </c>
      <c r="BM39" s="20">
        <v>402.12</v>
      </c>
      <c r="BN39" s="20">
        <v>571.98</v>
      </c>
      <c r="BO39" s="20">
        <v>318.57</v>
      </c>
      <c r="BP39" s="20">
        <v>425.6</v>
      </c>
      <c r="BQ39" s="20">
        <v>521.79</v>
      </c>
    </row>
    <row r="40" spans="1:69">
      <c r="A40" t="s">
        <v>104</v>
      </c>
      <c r="B40" t="s">
        <v>105</v>
      </c>
      <c r="C40" t="s">
        <v>35</v>
      </c>
      <c r="D40" s="17">
        <v>0.03889338731443992</v>
      </c>
      <c r="E40" s="17">
        <v>0.6234774403842853</v>
      </c>
      <c r="F40" s="20">
        <v>378.53</v>
      </c>
      <c r="P40" t="s">
        <v>187</v>
      </c>
      <c r="Q40" s="20">
        <v>417.79</v>
      </c>
      <c r="R40" s="20">
        <f>INDEX($S$40:$BQ$40,MATCH($I$7,$S$1:$BQ$1,0))</f>
        <v>406.94</v>
      </c>
      <c r="S40" s="20">
        <v>356.9</v>
      </c>
      <c r="T40" s="20">
        <v>372.68</v>
      </c>
      <c r="U40" s="20">
        <v>563.03</v>
      </c>
      <c r="V40" s="20">
        <v>356.55</v>
      </c>
      <c r="W40" s="20">
        <v>420.02</v>
      </c>
      <c r="X40" s="20">
        <v>684.7</v>
      </c>
      <c r="Y40" s="20">
        <v>289.99</v>
      </c>
      <c r="Z40" s="20">
        <v>331.08</v>
      </c>
      <c r="AA40" s="20">
        <v>603.7</v>
      </c>
      <c r="AB40" s="20">
        <v>548.34</v>
      </c>
      <c r="AC40" s="20">
        <v>415.33</v>
      </c>
      <c r="AD40" s="20">
        <v>407.71</v>
      </c>
      <c r="AE40" s="20">
        <v>626.9400000000001</v>
      </c>
      <c r="AF40" s="20">
        <v>300.3</v>
      </c>
      <c r="AG40" s="20">
        <v>351.29</v>
      </c>
      <c r="AH40" s="20">
        <v>359.17</v>
      </c>
      <c r="AI40" s="20">
        <v>388.03</v>
      </c>
      <c r="AJ40" s="20">
        <v>381.52</v>
      </c>
      <c r="AK40" s="20">
        <v>351.46</v>
      </c>
      <c r="AL40" s="20">
        <v>466.4</v>
      </c>
      <c r="AM40" s="20">
        <v>358.88</v>
      </c>
      <c r="AN40" s="20">
        <v>452.55</v>
      </c>
      <c r="AO40" s="20">
        <v>367.61</v>
      </c>
      <c r="AP40" s="20">
        <v>414.65</v>
      </c>
      <c r="AQ40" s="20">
        <v>310.03</v>
      </c>
      <c r="AR40" s="20">
        <v>385.32</v>
      </c>
      <c r="AS40" s="20">
        <v>717.5700000000001</v>
      </c>
      <c r="AT40" s="20">
        <v>413.54</v>
      </c>
      <c r="AU40" s="20">
        <v>409.1</v>
      </c>
      <c r="AV40" s="20">
        <v>454.51</v>
      </c>
      <c r="AW40" s="20">
        <v>401.58</v>
      </c>
      <c r="AX40" s="20">
        <v>396.15</v>
      </c>
      <c r="AY40" s="20">
        <v>390.11</v>
      </c>
      <c r="AZ40" s="20">
        <v>427.47</v>
      </c>
      <c r="BA40" s="20">
        <v>420.52</v>
      </c>
      <c r="BB40" s="20">
        <v>332.14</v>
      </c>
      <c r="BC40" s="20">
        <v>368.33</v>
      </c>
      <c r="BD40" s="20">
        <v>624.3200000000001</v>
      </c>
      <c r="BE40" s="20">
        <v>351.09</v>
      </c>
      <c r="BF40" s="20">
        <v>406.64</v>
      </c>
      <c r="BG40" s="20">
        <v>425.57</v>
      </c>
      <c r="BH40" s="20">
        <v>477.3</v>
      </c>
      <c r="BI40" s="20">
        <v>467.47</v>
      </c>
      <c r="BJ40" s="20">
        <v>440.78</v>
      </c>
      <c r="BK40" s="20">
        <v>706.6900000000001</v>
      </c>
      <c r="BL40" s="20">
        <v>420.25</v>
      </c>
      <c r="BM40" s="20">
        <v>406.94</v>
      </c>
      <c r="BN40" s="20">
        <v>576.17</v>
      </c>
      <c r="BO40" s="20">
        <v>311.8</v>
      </c>
      <c r="BP40" s="20">
        <v>431.83</v>
      </c>
      <c r="BQ40" s="20">
        <v>531.29</v>
      </c>
    </row>
    <row r="41" spans="1:69">
      <c r="A41" t="s">
        <v>106</v>
      </c>
      <c r="B41" t="s">
        <v>107</v>
      </c>
      <c r="C41" t="s">
        <v>35</v>
      </c>
      <c r="D41" s="17">
        <v>0.04593697400411445</v>
      </c>
      <c r="E41" s="17">
        <v>0.8078375051292574</v>
      </c>
      <c r="F41" s="20">
        <v>440.57</v>
      </c>
      <c r="P41" t="s">
        <v>188</v>
      </c>
      <c r="Q41" s="20">
        <v>423.13</v>
      </c>
      <c r="R41" s="20">
        <f>INDEX($S$41:$BQ$41,MATCH($I$7,$S$1:$BQ$1,0))</f>
        <v>411.87</v>
      </c>
      <c r="S41" s="20">
        <v>361.23</v>
      </c>
      <c r="T41" s="20">
        <v>372.19</v>
      </c>
      <c r="U41" s="20">
        <v>564.3099999999999</v>
      </c>
      <c r="V41" s="20">
        <v>357.39</v>
      </c>
      <c r="W41" s="20">
        <v>421.65</v>
      </c>
      <c r="X41" s="20">
        <v>689.3200000000001</v>
      </c>
      <c r="Y41" s="20">
        <v>297.64</v>
      </c>
      <c r="Z41" s="20">
        <v>327.21</v>
      </c>
      <c r="AA41" s="20">
        <v>616.95</v>
      </c>
      <c r="AB41" s="20">
        <v>555.38</v>
      </c>
      <c r="AC41" s="20">
        <v>421.33</v>
      </c>
      <c r="AD41" s="20">
        <v>392.44</v>
      </c>
      <c r="AE41" s="20">
        <v>640.1</v>
      </c>
      <c r="AF41" s="20">
        <v>307.1</v>
      </c>
      <c r="AG41" s="20">
        <v>356.41</v>
      </c>
      <c r="AH41" s="20">
        <v>364.86</v>
      </c>
      <c r="AI41" s="20">
        <v>394.11</v>
      </c>
      <c r="AJ41" s="20">
        <v>387.9</v>
      </c>
      <c r="AK41" s="20">
        <v>356.07</v>
      </c>
      <c r="AL41" s="20">
        <v>474.83</v>
      </c>
      <c r="AM41" s="20">
        <v>364.96</v>
      </c>
      <c r="AN41" s="20">
        <v>459.23</v>
      </c>
      <c r="AO41" s="20">
        <v>368.01</v>
      </c>
      <c r="AP41" s="20">
        <v>418.84</v>
      </c>
      <c r="AQ41" s="20">
        <v>313.75</v>
      </c>
      <c r="AR41" s="20">
        <v>388.28</v>
      </c>
      <c r="AS41" s="20">
        <v>734.6900000000001</v>
      </c>
      <c r="AT41" s="20">
        <v>425.03</v>
      </c>
      <c r="AU41" s="20">
        <v>420.84</v>
      </c>
      <c r="AV41" s="20">
        <v>460.78</v>
      </c>
      <c r="AW41" s="20">
        <v>412.22</v>
      </c>
      <c r="AX41" s="20">
        <v>403.88</v>
      </c>
      <c r="AY41" s="20">
        <v>399.07</v>
      </c>
      <c r="AZ41" s="20">
        <v>434.63</v>
      </c>
      <c r="BA41" s="20">
        <v>426.42</v>
      </c>
      <c r="BB41" s="20">
        <v>337.38</v>
      </c>
      <c r="BC41" s="20">
        <v>372.84</v>
      </c>
      <c r="BD41" s="20">
        <v>627.35</v>
      </c>
      <c r="BE41" s="20">
        <v>357.03</v>
      </c>
      <c r="BF41" s="20">
        <v>412.26</v>
      </c>
      <c r="BG41" s="20">
        <v>435.49</v>
      </c>
      <c r="BH41" s="20">
        <v>484.61</v>
      </c>
      <c r="BI41" s="20">
        <v>473.79</v>
      </c>
      <c r="BJ41" s="20">
        <v>444.42</v>
      </c>
      <c r="BK41" s="20">
        <v>716.6799999999999</v>
      </c>
      <c r="BL41" s="20">
        <v>420.94</v>
      </c>
      <c r="BM41" s="20">
        <v>411.87</v>
      </c>
      <c r="BN41" s="20">
        <v>580.55</v>
      </c>
      <c r="BO41" s="20">
        <v>324.03</v>
      </c>
      <c r="BP41" s="20">
        <v>439.32</v>
      </c>
      <c r="BQ41" s="20">
        <v>537.76</v>
      </c>
    </row>
    <row r="42" spans="1:69">
      <c r="A42" t="s">
        <v>108</v>
      </c>
      <c r="B42" t="s">
        <v>109</v>
      </c>
      <c r="C42" t="s">
        <v>17</v>
      </c>
      <c r="D42" s="17">
        <v>0.02322219210264742</v>
      </c>
      <c r="E42" s="17">
        <v>0.7665371177325011</v>
      </c>
      <c r="F42" s="20">
        <v>449.99</v>
      </c>
      <c r="P42" t="s">
        <v>189</v>
      </c>
      <c r="Q42" s="20">
        <v>426.19</v>
      </c>
      <c r="R42" s="20">
        <f>INDEX($S$42:$BQ$42,MATCH($I$7,$S$1:$BQ$1,0))</f>
        <v>419.57</v>
      </c>
      <c r="S42" s="20">
        <v>363.65</v>
      </c>
      <c r="T42" s="20">
        <v>378.58</v>
      </c>
      <c r="U42" s="20">
        <v>565.66</v>
      </c>
      <c r="V42" s="20">
        <v>359.04</v>
      </c>
      <c r="W42" s="20">
        <v>421.57</v>
      </c>
      <c r="X42" s="20">
        <v>690.02</v>
      </c>
      <c r="Y42" s="20">
        <v>301.93</v>
      </c>
      <c r="Z42" s="20">
        <v>334.55</v>
      </c>
      <c r="AA42" s="20">
        <v>613.74</v>
      </c>
      <c r="AB42" s="20">
        <v>548.36</v>
      </c>
      <c r="AC42" s="20">
        <v>423.14</v>
      </c>
      <c r="AD42" s="20">
        <v>394.03</v>
      </c>
      <c r="AE42" s="20">
        <v>632.04</v>
      </c>
      <c r="AF42" s="20">
        <v>310.06</v>
      </c>
      <c r="AG42" s="20">
        <v>358.27</v>
      </c>
      <c r="AH42" s="20">
        <v>366.09</v>
      </c>
      <c r="AI42" s="20">
        <v>400.66</v>
      </c>
      <c r="AJ42" s="20">
        <v>388.02</v>
      </c>
      <c r="AK42" s="20">
        <v>361.14</v>
      </c>
      <c r="AL42" s="20">
        <v>488.11</v>
      </c>
      <c r="AM42" s="20">
        <v>365.6</v>
      </c>
      <c r="AN42" s="20">
        <v>464.13</v>
      </c>
      <c r="AO42" s="20">
        <v>378.61</v>
      </c>
      <c r="AP42" s="20">
        <v>421.8</v>
      </c>
      <c r="AQ42" s="20">
        <v>317.07</v>
      </c>
      <c r="AR42" s="20">
        <v>392.12</v>
      </c>
      <c r="AS42" s="20">
        <v>730.71</v>
      </c>
      <c r="AT42" s="20">
        <v>423.41</v>
      </c>
      <c r="AU42" s="20">
        <v>422.98</v>
      </c>
      <c r="AV42" s="20">
        <v>463.93</v>
      </c>
      <c r="AW42" s="20">
        <v>418.6</v>
      </c>
      <c r="AX42" s="20">
        <v>407.75</v>
      </c>
      <c r="AY42" s="20">
        <v>405.49</v>
      </c>
      <c r="AZ42" s="20">
        <v>436.94</v>
      </c>
      <c r="BA42" s="20">
        <v>430.56</v>
      </c>
      <c r="BB42" s="20">
        <v>343.68</v>
      </c>
      <c r="BC42" s="20">
        <v>380.01</v>
      </c>
      <c r="BD42" s="20">
        <v>626.6799999999999</v>
      </c>
      <c r="BE42" s="20">
        <v>362.87</v>
      </c>
      <c r="BF42" s="20">
        <v>430.41</v>
      </c>
      <c r="BG42" s="20">
        <v>437.87</v>
      </c>
      <c r="BH42" s="20">
        <v>485.31</v>
      </c>
      <c r="BI42" s="20">
        <v>470.47</v>
      </c>
      <c r="BJ42" s="20">
        <v>446.73</v>
      </c>
      <c r="BK42" s="20">
        <v>719.48</v>
      </c>
      <c r="BL42" s="20">
        <v>425.26</v>
      </c>
      <c r="BM42" s="20">
        <v>419.57</v>
      </c>
      <c r="BN42" s="20">
        <v>587.21</v>
      </c>
      <c r="BO42" s="20">
        <v>322.58</v>
      </c>
      <c r="BP42" s="20">
        <v>447.68</v>
      </c>
      <c r="BQ42" s="20">
        <v>543.1</v>
      </c>
    </row>
    <row r="43" spans="1:69">
      <c r="A43" t="s">
        <v>110</v>
      </c>
      <c r="B43" t="s">
        <v>111</v>
      </c>
      <c r="C43" t="s">
        <v>52</v>
      </c>
      <c r="D43" s="17">
        <v>0.01145107178013949</v>
      </c>
      <c r="E43" s="17">
        <v>0.6048597889573719</v>
      </c>
      <c r="F43" s="20">
        <v>497.33</v>
      </c>
      <c r="P43" t="s">
        <v>190</v>
      </c>
      <c r="Q43" s="20">
        <v>426.58</v>
      </c>
      <c r="R43" s="20">
        <f>INDEX($S$43:$BQ$43,MATCH($I$7,$S$1:$BQ$1,0))</f>
        <v>418.39</v>
      </c>
      <c r="S43" s="20">
        <v>365.61</v>
      </c>
      <c r="T43" s="20">
        <v>376.58</v>
      </c>
      <c r="U43" s="20">
        <v>561.3099999999999</v>
      </c>
      <c r="V43" s="20">
        <v>366.06</v>
      </c>
      <c r="W43" s="20">
        <v>418</v>
      </c>
      <c r="X43" s="20">
        <v>677.91</v>
      </c>
      <c r="Y43" s="20">
        <v>304.82</v>
      </c>
      <c r="Z43" s="20">
        <v>336.48</v>
      </c>
      <c r="AA43" s="20">
        <v>594.5</v>
      </c>
      <c r="AB43" s="20">
        <v>542.23</v>
      </c>
      <c r="AC43" s="20">
        <v>417.74</v>
      </c>
      <c r="AD43" s="20">
        <v>397.82</v>
      </c>
      <c r="AE43" s="20">
        <v>632.64</v>
      </c>
      <c r="AF43" s="20">
        <v>316.62</v>
      </c>
      <c r="AG43" s="20">
        <v>361.12</v>
      </c>
      <c r="AH43" s="20">
        <v>372.25</v>
      </c>
      <c r="AI43" s="20">
        <v>402.14</v>
      </c>
      <c r="AJ43" s="20">
        <v>393.05</v>
      </c>
      <c r="AK43" s="20">
        <v>361.51</v>
      </c>
      <c r="AL43" s="20">
        <v>489.9</v>
      </c>
      <c r="AM43" s="20">
        <v>365.11</v>
      </c>
      <c r="AN43" s="20">
        <v>465.62</v>
      </c>
      <c r="AO43" s="20">
        <v>378.5</v>
      </c>
      <c r="AP43" s="20">
        <v>424.55</v>
      </c>
      <c r="AQ43" s="20">
        <v>326.39</v>
      </c>
      <c r="AR43" s="20">
        <v>394.51</v>
      </c>
      <c r="AS43" s="20">
        <v>721.98</v>
      </c>
      <c r="AT43" s="20">
        <v>428.6</v>
      </c>
      <c r="AU43" s="20">
        <v>419.89</v>
      </c>
      <c r="AV43" s="20">
        <v>470.86</v>
      </c>
      <c r="AW43" s="20">
        <v>423.29</v>
      </c>
      <c r="AX43" s="20">
        <v>413.74</v>
      </c>
      <c r="AY43" s="20">
        <v>414.05</v>
      </c>
      <c r="AZ43" s="20">
        <v>437.25</v>
      </c>
      <c r="BA43" s="20">
        <v>441.75</v>
      </c>
      <c r="BB43" s="20">
        <v>343.94</v>
      </c>
      <c r="BC43" s="20">
        <v>375.02</v>
      </c>
      <c r="BD43" s="20">
        <v>627.35</v>
      </c>
      <c r="BE43" s="20">
        <v>364.21</v>
      </c>
      <c r="BF43" s="20">
        <v>420.98</v>
      </c>
      <c r="BG43" s="20">
        <v>439.55</v>
      </c>
      <c r="BH43" s="20">
        <v>491.84</v>
      </c>
      <c r="BI43" s="20">
        <v>475.22</v>
      </c>
      <c r="BJ43" s="20">
        <v>442.24</v>
      </c>
      <c r="BK43" s="20">
        <v>717.3099999999999</v>
      </c>
      <c r="BL43" s="20">
        <v>422.18</v>
      </c>
      <c r="BM43" s="20">
        <v>418.39</v>
      </c>
      <c r="BN43" s="20">
        <v>587.91</v>
      </c>
      <c r="BO43" s="20">
        <v>326.9</v>
      </c>
      <c r="BP43" s="20">
        <v>452.41</v>
      </c>
      <c r="BQ43" s="20">
        <v>546.42</v>
      </c>
    </row>
    <row r="44" spans="1:69">
      <c r="A44" t="s">
        <v>112</v>
      </c>
      <c r="B44" t="s">
        <v>113</v>
      </c>
      <c r="C44" t="s">
        <v>17</v>
      </c>
      <c r="D44" s="17">
        <v>0.00850736334137614</v>
      </c>
      <c r="E44" s="17">
        <v>0.7179101268544399</v>
      </c>
      <c r="F44" s="20">
        <v>479.4</v>
      </c>
      <c r="P44" t="s">
        <v>191</v>
      </c>
      <c r="Q44" s="20">
        <v>428.05</v>
      </c>
      <c r="R44" s="20">
        <f>INDEX($S$44:$BQ$44,MATCH($I$7,$S$1:$BQ$1,0))</f>
        <v>422.76</v>
      </c>
      <c r="S44" s="20">
        <v>364.35</v>
      </c>
      <c r="T44" s="20">
        <v>376.35</v>
      </c>
      <c r="U44" s="20">
        <v>561.23</v>
      </c>
      <c r="V44" s="20">
        <v>364.03</v>
      </c>
      <c r="W44" s="20">
        <v>417.74</v>
      </c>
      <c r="X44" s="20">
        <v>680.01</v>
      </c>
      <c r="Y44" s="20">
        <v>308.13</v>
      </c>
      <c r="Z44" s="20">
        <v>342.28</v>
      </c>
      <c r="AA44" s="20">
        <v>607.03</v>
      </c>
      <c r="AB44" s="20">
        <v>537.24</v>
      </c>
      <c r="AC44" s="20">
        <v>419.64</v>
      </c>
      <c r="AD44" s="20">
        <v>419.42</v>
      </c>
      <c r="AE44" s="20">
        <v>636.99</v>
      </c>
      <c r="AF44" s="20">
        <v>322.22</v>
      </c>
      <c r="AG44" s="20">
        <v>361.62</v>
      </c>
      <c r="AH44" s="20">
        <v>374.31</v>
      </c>
      <c r="AI44" s="20">
        <v>405.83</v>
      </c>
      <c r="AJ44" s="20">
        <v>396.9</v>
      </c>
      <c r="AK44" s="20">
        <v>363.32</v>
      </c>
      <c r="AL44" s="20">
        <v>491.09</v>
      </c>
      <c r="AM44" s="20">
        <v>366.3</v>
      </c>
      <c r="AN44" s="20">
        <v>467.85</v>
      </c>
      <c r="AO44" s="20">
        <v>382.24</v>
      </c>
      <c r="AP44" s="20">
        <v>428.44</v>
      </c>
      <c r="AQ44" s="20">
        <v>323.8</v>
      </c>
      <c r="AR44" s="20">
        <v>396.84</v>
      </c>
      <c r="AS44" s="20">
        <v>729.03</v>
      </c>
      <c r="AT44" s="20">
        <v>431</v>
      </c>
      <c r="AU44" s="20">
        <v>422.92</v>
      </c>
      <c r="AV44" s="20">
        <v>471.94</v>
      </c>
      <c r="AW44" s="20">
        <v>425.53</v>
      </c>
      <c r="AX44" s="20">
        <v>406.97</v>
      </c>
      <c r="AY44" s="20">
        <v>417.56</v>
      </c>
      <c r="AZ44" s="20">
        <v>436.72</v>
      </c>
      <c r="BA44" s="20">
        <v>447.4</v>
      </c>
      <c r="BB44" s="20">
        <v>349.05</v>
      </c>
      <c r="BC44" s="20">
        <v>377.01</v>
      </c>
      <c r="BD44" s="20">
        <v>626.39</v>
      </c>
      <c r="BE44" s="20">
        <v>367.82</v>
      </c>
      <c r="BF44" s="20">
        <v>423.08</v>
      </c>
      <c r="BG44" s="20">
        <v>443.24</v>
      </c>
      <c r="BH44" s="20">
        <v>491.57</v>
      </c>
      <c r="BI44" s="20">
        <v>474.73</v>
      </c>
      <c r="BJ44" s="20">
        <v>441.17</v>
      </c>
      <c r="BK44" s="20">
        <v>716.17</v>
      </c>
      <c r="BL44" s="20">
        <v>417.5</v>
      </c>
      <c r="BM44" s="20">
        <v>422.76</v>
      </c>
      <c r="BN44" s="20">
        <v>584.51</v>
      </c>
      <c r="BO44" s="20">
        <v>330.53</v>
      </c>
      <c r="BP44" s="20">
        <v>457.74</v>
      </c>
      <c r="BQ44" s="20">
        <v>540.9400000000001</v>
      </c>
    </row>
    <row r="45" spans="1:69">
      <c r="A45" t="s">
        <v>114</v>
      </c>
      <c r="B45" t="s">
        <v>115</v>
      </c>
      <c r="C45" t="s">
        <v>17</v>
      </c>
      <c r="D45" s="17">
        <v>0.004277693610195143</v>
      </c>
      <c r="E45" s="17">
        <v>0.4874773990490857</v>
      </c>
      <c r="F45" s="20">
        <v>444.25</v>
      </c>
      <c r="P45" t="s">
        <v>192</v>
      </c>
      <c r="Q45" s="20">
        <v>431.73</v>
      </c>
      <c r="R45" s="20">
        <f>INDEX($S$45:$BQ$45,MATCH($I$7,$S$1:$BQ$1,0))</f>
        <v>427.3</v>
      </c>
      <c r="S45" s="20">
        <v>370.1</v>
      </c>
      <c r="T45" s="20">
        <v>389.25</v>
      </c>
      <c r="U45" s="20">
        <v>568.11</v>
      </c>
      <c r="V45" s="20">
        <v>371.67</v>
      </c>
      <c r="W45" s="20">
        <v>419.4</v>
      </c>
      <c r="X45" s="20">
        <v>678.67</v>
      </c>
      <c r="Y45" s="20">
        <v>311.35</v>
      </c>
      <c r="Z45" s="20">
        <v>349.76</v>
      </c>
      <c r="AA45" s="20">
        <v>610.27</v>
      </c>
      <c r="AB45" s="20">
        <v>542.09</v>
      </c>
      <c r="AC45" s="20">
        <v>421.15</v>
      </c>
      <c r="AD45" s="20">
        <v>394.96</v>
      </c>
      <c r="AE45" s="20">
        <v>634.37</v>
      </c>
      <c r="AF45" s="20">
        <v>326.63</v>
      </c>
      <c r="AG45" s="20">
        <v>368.12</v>
      </c>
      <c r="AH45" s="20">
        <v>378.27</v>
      </c>
      <c r="AI45" s="20">
        <v>410.05</v>
      </c>
      <c r="AJ45" s="20">
        <v>398.91</v>
      </c>
      <c r="AK45" s="20">
        <v>368.23</v>
      </c>
      <c r="AL45" s="20">
        <v>493.92</v>
      </c>
      <c r="AM45" s="20">
        <v>368.95</v>
      </c>
      <c r="AN45" s="20">
        <v>470.6</v>
      </c>
      <c r="AO45" s="20">
        <v>389.15</v>
      </c>
      <c r="AP45" s="20">
        <v>432.3</v>
      </c>
      <c r="AQ45" s="20">
        <v>323.56</v>
      </c>
      <c r="AR45" s="20">
        <v>406.1</v>
      </c>
      <c r="AS45" s="20">
        <v>724.98</v>
      </c>
      <c r="AT45" s="20">
        <v>434.63</v>
      </c>
      <c r="AU45" s="20">
        <v>423.29</v>
      </c>
      <c r="AV45" s="20">
        <v>478.2</v>
      </c>
      <c r="AW45" s="20">
        <v>432.42</v>
      </c>
      <c r="AX45" s="20">
        <v>406.51</v>
      </c>
      <c r="AY45" s="20">
        <v>421.23</v>
      </c>
      <c r="AZ45" s="20">
        <v>439.06</v>
      </c>
      <c r="BA45" s="20">
        <v>453.12</v>
      </c>
      <c r="BB45" s="20">
        <v>352.92</v>
      </c>
      <c r="BC45" s="20">
        <v>385.27</v>
      </c>
      <c r="BD45" s="20">
        <v>629.83</v>
      </c>
      <c r="BE45" s="20">
        <v>371.89</v>
      </c>
      <c r="BF45" s="20">
        <v>431.47</v>
      </c>
      <c r="BG45" s="20">
        <v>444.03</v>
      </c>
      <c r="BH45" s="20">
        <v>495.06</v>
      </c>
      <c r="BI45" s="20">
        <v>475.69</v>
      </c>
      <c r="BJ45" s="20">
        <v>441.96</v>
      </c>
      <c r="BK45" s="20">
        <v>721.61</v>
      </c>
      <c r="BL45" s="20">
        <v>437.34</v>
      </c>
      <c r="BM45" s="20">
        <v>427.3</v>
      </c>
      <c r="BN45" s="20">
        <v>592.73</v>
      </c>
      <c r="BO45" s="20">
        <v>325.37</v>
      </c>
      <c r="BP45" s="20">
        <v>464.13</v>
      </c>
      <c r="BQ45" s="20">
        <v>555.35</v>
      </c>
    </row>
    <row r="46" spans="1:69">
      <c r="A46" t="s">
        <v>116</v>
      </c>
      <c r="B46" t="s">
        <v>117</v>
      </c>
      <c r="C46" t="s">
        <v>21</v>
      </c>
      <c r="D46" s="17">
        <v>0.009914955971569883</v>
      </c>
      <c r="E46" s="17">
        <v>0.6370082652093401</v>
      </c>
      <c r="F46" s="20">
        <v>724.9</v>
      </c>
      <c r="P46" t="s">
        <v>193</v>
      </c>
      <c r="Q46" s="20">
        <v>434.18</v>
      </c>
      <c r="R46" s="20">
        <f>INDEX($S$46:$BQ$46,MATCH($I$7,$S$1:$BQ$1,0))</f>
        <v>429.82</v>
      </c>
      <c r="S46" s="20">
        <v>371.88</v>
      </c>
      <c r="T46" s="20">
        <v>403.1</v>
      </c>
      <c r="U46" s="20">
        <v>567.03</v>
      </c>
      <c r="V46" s="20">
        <v>370.01</v>
      </c>
      <c r="W46" s="20">
        <v>419.76</v>
      </c>
      <c r="X46" s="20">
        <v>674.2</v>
      </c>
      <c r="Y46" s="20">
        <v>316.3</v>
      </c>
      <c r="Z46" s="20">
        <v>341.08</v>
      </c>
      <c r="AA46" s="20">
        <v>604.03</v>
      </c>
      <c r="AB46" s="20">
        <v>546.49</v>
      </c>
      <c r="AC46" s="20">
        <v>425.06</v>
      </c>
      <c r="AD46" s="20">
        <v>402.04</v>
      </c>
      <c r="AE46" s="20">
        <v>650.76</v>
      </c>
      <c r="AF46" s="20">
        <v>332.69</v>
      </c>
      <c r="AG46" s="20">
        <v>372.78</v>
      </c>
      <c r="AH46" s="20">
        <v>379.52</v>
      </c>
      <c r="AI46" s="20">
        <v>412.76</v>
      </c>
      <c r="AJ46" s="20">
        <v>406.52</v>
      </c>
      <c r="AK46" s="20">
        <v>365.86</v>
      </c>
      <c r="AL46" s="20">
        <v>501.89</v>
      </c>
      <c r="AM46" s="20">
        <v>368.96</v>
      </c>
      <c r="AN46" s="20">
        <v>476.27</v>
      </c>
      <c r="AO46" s="20">
        <v>391.35</v>
      </c>
      <c r="AP46" s="20">
        <v>434.17</v>
      </c>
      <c r="AQ46" s="20">
        <v>329.39</v>
      </c>
      <c r="AR46" s="20">
        <v>407.68</v>
      </c>
      <c r="AS46" s="20">
        <v>729.12</v>
      </c>
      <c r="AT46" s="20">
        <v>439.55</v>
      </c>
      <c r="AU46" s="20">
        <v>424.57</v>
      </c>
      <c r="AV46" s="20">
        <v>480.5</v>
      </c>
      <c r="AW46" s="20">
        <v>438.19</v>
      </c>
      <c r="AX46" s="20">
        <v>415.71</v>
      </c>
      <c r="AY46" s="20">
        <v>425.37</v>
      </c>
      <c r="AZ46" s="20">
        <v>440.01</v>
      </c>
      <c r="BA46" s="20">
        <v>458.17</v>
      </c>
      <c r="BB46" s="20">
        <v>355.99</v>
      </c>
      <c r="BC46" s="20">
        <v>379.57</v>
      </c>
      <c r="BD46" s="20">
        <v>630.3</v>
      </c>
      <c r="BE46" s="20">
        <v>376.47</v>
      </c>
      <c r="BF46" s="20">
        <v>430.38</v>
      </c>
      <c r="BG46" s="20">
        <v>444.97</v>
      </c>
      <c r="BH46" s="20">
        <v>500.37</v>
      </c>
      <c r="BI46" s="20">
        <v>480.74</v>
      </c>
      <c r="BJ46" s="20">
        <v>441.23</v>
      </c>
      <c r="BK46" s="20">
        <v>724.5</v>
      </c>
      <c r="BL46" s="20">
        <v>446</v>
      </c>
      <c r="BM46" s="20">
        <v>429.82</v>
      </c>
      <c r="BN46" s="20">
        <v>585.64</v>
      </c>
      <c r="BO46" s="20">
        <v>338.69</v>
      </c>
      <c r="BP46" s="20">
        <v>468.94</v>
      </c>
      <c r="BQ46" s="20">
        <v>554.01</v>
      </c>
    </row>
    <row r="47" spans="1:69">
      <c r="A47" t="s">
        <v>118</v>
      </c>
      <c r="B47" t="s">
        <v>119</v>
      </c>
      <c r="C47" t="s">
        <v>35</v>
      </c>
      <c r="D47" s="17">
        <v>0.07161113325673552</v>
      </c>
      <c r="E47" s="17">
        <v>0.8621114948199309</v>
      </c>
      <c r="F47" s="20">
        <v>452.94</v>
      </c>
      <c r="P47" t="s">
        <v>194</v>
      </c>
      <c r="Q47" s="20">
        <v>435.69</v>
      </c>
      <c r="R47" s="20">
        <f>INDEX($S$47:$BQ$47,MATCH($I$7,$S$1:$BQ$1,0))</f>
        <v>431.35</v>
      </c>
      <c r="S47" s="20">
        <v>375.76</v>
      </c>
      <c r="T47" s="20">
        <v>407.85</v>
      </c>
      <c r="U47" s="20">
        <v>564.5700000000001</v>
      </c>
      <c r="V47" s="20">
        <v>370.19</v>
      </c>
      <c r="W47" s="20">
        <v>417.15</v>
      </c>
      <c r="X47" s="20">
        <v>674.35</v>
      </c>
      <c r="Y47" s="20">
        <v>319.12</v>
      </c>
      <c r="Z47" s="20">
        <v>347.62</v>
      </c>
      <c r="AA47" s="20">
        <v>604.4</v>
      </c>
      <c r="AB47" s="20">
        <v>547.45</v>
      </c>
      <c r="AC47" s="20">
        <v>425.66</v>
      </c>
      <c r="AD47" s="20">
        <v>420.96</v>
      </c>
      <c r="AE47" s="20">
        <v>655.51</v>
      </c>
      <c r="AF47" s="20">
        <v>334.38</v>
      </c>
      <c r="AG47" s="20">
        <v>373.87</v>
      </c>
      <c r="AH47" s="20">
        <v>380.62</v>
      </c>
      <c r="AI47" s="20">
        <v>415.55</v>
      </c>
      <c r="AJ47" s="20">
        <v>409.76</v>
      </c>
      <c r="AK47" s="20">
        <v>367.42</v>
      </c>
      <c r="AL47" s="20">
        <v>495.35</v>
      </c>
      <c r="AM47" s="20">
        <v>368.88</v>
      </c>
      <c r="AN47" s="20">
        <v>482.57</v>
      </c>
      <c r="AO47" s="20">
        <v>392.88</v>
      </c>
      <c r="AP47" s="20">
        <v>435.22</v>
      </c>
      <c r="AQ47" s="20">
        <v>327.91</v>
      </c>
      <c r="AR47" s="20">
        <v>409.34</v>
      </c>
      <c r="AS47" s="20">
        <v>742.0599999999999</v>
      </c>
      <c r="AT47" s="20">
        <v>437.28</v>
      </c>
      <c r="AU47" s="20">
        <v>431.51</v>
      </c>
      <c r="AV47" s="20">
        <v>485.58</v>
      </c>
      <c r="AW47" s="20">
        <v>442.71</v>
      </c>
      <c r="AX47" s="20">
        <v>408.57</v>
      </c>
      <c r="AY47" s="20">
        <v>428.68</v>
      </c>
      <c r="AZ47" s="20">
        <v>439.06</v>
      </c>
      <c r="BA47" s="20">
        <v>462.97</v>
      </c>
      <c r="BB47" s="20">
        <v>359.13</v>
      </c>
      <c r="BC47" s="20">
        <v>382.47</v>
      </c>
      <c r="BD47" s="20">
        <v>629.17</v>
      </c>
      <c r="BE47" s="20">
        <v>378.53</v>
      </c>
      <c r="BF47" s="20">
        <v>440.57</v>
      </c>
      <c r="BG47" s="20">
        <v>449.99</v>
      </c>
      <c r="BH47" s="20">
        <v>497.33</v>
      </c>
      <c r="BI47" s="20">
        <v>479.4</v>
      </c>
      <c r="BJ47" s="20">
        <v>444.25</v>
      </c>
      <c r="BK47" s="20">
        <v>724.9</v>
      </c>
      <c r="BL47" s="20">
        <v>452.94</v>
      </c>
      <c r="BM47" s="20">
        <v>431.35</v>
      </c>
      <c r="BN47" s="20">
        <v>582.36</v>
      </c>
      <c r="BO47" s="20">
        <v>345.15</v>
      </c>
      <c r="BP47" s="20">
        <v>474.21</v>
      </c>
      <c r="BQ47" s="20">
        <v>564.09</v>
      </c>
    </row>
    <row r="48" spans="1:69">
      <c r="A48" t="s">
        <v>120</v>
      </c>
      <c r="B48" t="s">
        <v>121</v>
      </c>
      <c r="C48" t="s">
        <v>17</v>
      </c>
      <c r="D48" s="17">
        <v>0.03032009762508214</v>
      </c>
      <c r="E48" s="17">
        <v>0.6180883787230851</v>
      </c>
      <c r="F48" s="20">
        <v>431.35</v>
      </c>
    </row>
    <row r="49" spans="1:9">
      <c r="A49" t="s">
        <v>122</v>
      </c>
      <c r="B49" t="s">
        <v>123</v>
      </c>
      <c r="C49" t="s">
        <v>21</v>
      </c>
      <c r="D49" s="17">
        <v>-0.009997674959311809</v>
      </c>
      <c r="E49" s="17">
        <v>0.5044563279857399</v>
      </c>
      <c r="F49" s="20">
        <v>582.36</v>
      </c>
    </row>
    <row r="50" spans="1:9">
      <c r="A50" t="s">
        <v>124</v>
      </c>
      <c r="B50" t="s">
        <v>125</v>
      </c>
      <c r="C50" t="s">
        <v>17</v>
      </c>
      <c r="D50" s="17">
        <v>0.05691524807657355</v>
      </c>
      <c r="E50" s="17">
        <v>0.5626839317245438</v>
      </c>
      <c r="F50" s="20">
        <v>345.15</v>
      </c>
    </row>
    <row r="51" spans="1:9">
      <c r="A51" t="s">
        <v>126</v>
      </c>
      <c r="B51" t="s">
        <v>127</v>
      </c>
      <c r="C51" t="s">
        <v>52</v>
      </c>
      <c r="D51" s="17">
        <v>0.04764689320598614</v>
      </c>
      <c r="E51" s="17">
        <v>0.7250900360144057</v>
      </c>
      <c r="F51" s="20">
        <v>474.21</v>
      </c>
    </row>
    <row r="52" spans="1:9">
      <c r="A52" t="s">
        <v>128</v>
      </c>
      <c r="B52" t="s">
        <v>129</v>
      </c>
      <c r="C52" t="s">
        <v>21</v>
      </c>
      <c r="D52" s="17">
        <v>0.03205128205128194</v>
      </c>
      <c r="E52" s="17">
        <v>0.5745708304256805</v>
      </c>
      <c r="F52" s="20">
        <v>564.09</v>
      </c>
    </row>
    <row r="55" spans="1:9">
      <c r="A55" s="6" t="s">
        <v>195</v>
      </c>
    </row>
    <row r="56" spans="1:9">
      <c r="A56" s="13" t="s">
        <v>1</v>
      </c>
      <c r="B56" s="13">
        <v>2018</v>
      </c>
      <c r="C56" s="13">
        <v>2019</v>
      </c>
      <c r="D56" s="13">
        <v>2020</v>
      </c>
      <c r="E56" s="13">
        <v>2021</v>
      </c>
      <c r="F56" s="13">
        <v>2022</v>
      </c>
      <c r="G56" s="13">
        <v>2023</v>
      </c>
      <c r="H56" s="13">
        <v>2024</v>
      </c>
      <c r="I56" s="13">
        <v>2025</v>
      </c>
    </row>
    <row r="57" spans="1:9">
      <c r="A57" t="s">
        <v>16</v>
      </c>
      <c r="B57" s="15">
        <f>SUMIFS(tblData[Total loans],tblData[State],$A57,tblData[Year],B$56)</f>
        <v>93410</v>
      </c>
      <c r="C57" s="15">
        <f>SUMIFS(tblData[Total loans],tblData[State],$A57,tblData[Year],C$56)</f>
        <v>109286</v>
      </c>
      <c r="D57" s="15">
        <f>SUMIFS(tblData[Total loans],tblData[State],$A57,tblData[Year],D$56)</f>
        <v>173808</v>
      </c>
      <c r="E57" s="15">
        <f>SUMIFS(tblData[Total loans],tblData[State],$A57,tblData[Year],E$56)</f>
        <v>184630</v>
      </c>
      <c r="F57" s="15">
        <f>SUMIFS(tblData[Total loans],tblData[State],$A57,tblData[Year],F$56)</f>
        <v>111430</v>
      </c>
      <c r="G57" s="15">
        <f>SUMIFS(tblData[Total loans],tblData[State],$A57,tblData[Year],G$56)</f>
        <v>79109</v>
      </c>
      <c r="H57" s="15">
        <f>SUMIFS(tblData[Total loans],tblData[State],$A57,tblData[Year],H$56)</f>
        <v>87245</v>
      </c>
      <c r="I57" s="15">
        <f>SUMIFS(tblData[Total loans],tblData[State],$A57,tblData[Year],I$56)</f>
        <v>96603</v>
      </c>
    </row>
    <row r="58" spans="1:9">
      <c r="A58" t="s">
        <v>20</v>
      </c>
      <c r="B58" s="15">
        <f>SUMIFS(tblData[Total loans],tblData[State],$A58,tblData[Year],B$56)</f>
        <v>12307</v>
      </c>
      <c r="C58" s="15">
        <f>SUMIFS(tblData[Total loans],tblData[State],$A58,tblData[Year],C$56)</f>
        <v>14447</v>
      </c>
      <c r="D58" s="15">
        <f>SUMIFS(tblData[Total loans],tblData[State],$A58,tblData[Year],D$56)</f>
        <v>25287</v>
      </c>
      <c r="E58" s="15">
        <f>SUMIFS(tblData[Total loans],tblData[State],$A58,tblData[Year],E$56)</f>
        <v>27032</v>
      </c>
      <c r="F58" s="15">
        <f>SUMIFS(tblData[Total loans],tblData[State],$A58,tblData[Year],F$56)</f>
        <v>15717</v>
      </c>
      <c r="G58" s="15">
        <f>SUMIFS(tblData[Total loans],tblData[State],$A58,tblData[Year],G$56)</f>
        <v>8342</v>
      </c>
      <c r="H58" s="15">
        <f>SUMIFS(tblData[Total loans],tblData[State],$A58,tblData[Year],H$56)</f>
        <v>9248</v>
      </c>
      <c r="I58" s="15">
        <f>SUMIFS(tblData[Total loans],tblData[State],$A58,tblData[Year],I$56)</f>
        <v>10371</v>
      </c>
    </row>
    <row r="59" spans="1:9">
      <c r="A59" t="s">
        <v>24</v>
      </c>
      <c r="B59" s="15">
        <f>SUMIFS(tblData[Total loans],tblData[State],$A59,tblData[Year],B$56)</f>
        <v>195272</v>
      </c>
      <c r="C59" s="15">
        <f>SUMIFS(tblData[Total loans],tblData[State],$A59,tblData[Year],C$56)</f>
        <v>272557</v>
      </c>
      <c r="D59" s="15">
        <f>SUMIFS(tblData[Total loans],tblData[State],$A59,tblData[Year],D$56)</f>
        <v>467877</v>
      </c>
      <c r="E59" s="15">
        <f>SUMIFS(tblData[Total loans],tblData[State],$A59,tblData[Year],E$56)</f>
        <v>460722</v>
      </c>
      <c r="F59" s="15">
        <f>SUMIFS(tblData[Total loans],tblData[State],$A59,tblData[Year],F$56)</f>
        <v>206046</v>
      </c>
      <c r="G59" s="15">
        <f>SUMIFS(tblData[Total loans],tblData[State],$A59,tblData[Year],G$56)</f>
        <v>118118</v>
      </c>
      <c r="H59" s="15">
        <f>SUMIFS(tblData[Total loans],tblData[State],$A59,tblData[Year],H$56)</f>
        <v>133597</v>
      </c>
      <c r="I59" s="15">
        <f>SUMIFS(tblData[Total loans],tblData[State],$A59,tblData[Year],I$56)</f>
        <v>150285</v>
      </c>
    </row>
    <row r="60" spans="1:9">
      <c r="A60" t="s">
        <v>27</v>
      </c>
      <c r="B60" s="15">
        <f>SUMIFS(tblData[Total loans],tblData[State],$A60,tblData[Year],B$56)</f>
        <v>56082</v>
      </c>
      <c r="C60" s="15">
        <f>SUMIFS(tblData[Total loans],tblData[State],$A60,tblData[Year],C$56)</f>
        <v>62199</v>
      </c>
      <c r="D60" s="15">
        <f>SUMIFS(tblData[Total loans],tblData[State],$A60,tblData[Year],D$56)</f>
        <v>97061</v>
      </c>
      <c r="E60" s="15">
        <f>SUMIFS(tblData[Total loans],tblData[State],$A60,tblData[Year],E$56)</f>
        <v>101059</v>
      </c>
      <c r="F60" s="15">
        <f>SUMIFS(tblData[Total loans],tblData[State],$A60,tblData[Year],F$56)</f>
        <v>62826</v>
      </c>
      <c r="G60" s="15">
        <f>SUMIFS(tblData[Total loans],tblData[State],$A60,tblData[Year],G$56)</f>
        <v>45314</v>
      </c>
      <c r="H60" s="15">
        <f>SUMIFS(tblData[Total loans],tblData[State],$A60,tblData[Year],H$56)</f>
        <v>48961</v>
      </c>
      <c r="I60" s="15">
        <f>SUMIFS(tblData[Total loans],tblData[State],$A60,tblData[Year],I$56)</f>
        <v>56196</v>
      </c>
    </row>
    <row r="61" spans="1:9">
      <c r="A61" t="s">
        <v>30</v>
      </c>
      <c r="B61" s="15">
        <f>SUMIFS(tblData[Total loans],tblData[State],$A61,tblData[Year],B$56)</f>
        <v>724836</v>
      </c>
      <c r="C61" s="15">
        <f>SUMIFS(tblData[Total loans],tblData[State],$A61,tblData[Year],C$56)</f>
        <v>1040660</v>
      </c>
      <c r="D61" s="15">
        <f>SUMIFS(tblData[Total loans],tblData[State],$A61,tblData[Year],D$56)</f>
        <v>1892805</v>
      </c>
      <c r="E61" s="15">
        <f>SUMIFS(tblData[Total loans],tblData[State],$A61,tblData[Year],E$56)</f>
        <v>1893079</v>
      </c>
      <c r="F61" s="15">
        <f>SUMIFS(tblData[Total loans],tblData[State],$A61,tblData[Year],F$56)</f>
        <v>667679</v>
      </c>
      <c r="G61" s="15">
        <f>SUMIFS(tblData[Total loans],tblData[State],$A61,tblData[Year],G$56)</f>
        <v>335898</v>
      </c>
      <c r="H61" s="15">
        <f>SUMIFS(tblData[Total loans],tblData[State],$A61,tblData[Year],H$56)</f>
        <v>406064</v>
      </c>
      <c r="I61" s="15">
        <f>SUMIFS(tblData[Total loans],tblData[State],$A61,tblData[Year],I$56)</f>
        <v>464185</v>
      </c>
    </row>
    <row r="62" spans="1:9">
      <c r="A62" t="s">
        <v>32</v>
      </c>
      <c r="B62" s="15">
        <f>SUMIFS(tblData[Total loans],tblData[State],$A62,tblData[Year],B$56)</f>
        <v>191747</v>
      </c>
      <c r="C62" s="15">
        <f>SUMIFS(tblData[Total loans],tblData[State],$A62,tblData[Year],C$56)</f>
        <v>268354</v>
      </c>
      <c r="D62" s="15">
        <f>SUMIFS(tblData[Total loans],tblData[State],$A62,tblData[Year],D$56)</f>
        <v>450949</v>
      </c>
      <c r="E62" s="15">
        <f>SUMIFS(tblData[Total loans],tblData[State],$A62,tblData[Year],E$56)</f>
        <v>407149</v>
      </c>
      <c r="F62" s="15">
        <f>SUMIFS(tblData[Total loans],tblData[State],$A62,tblData[Year],F$56)</f>
        <v>172064</v>
      </c>
      <c r="G62" s="15">
        <f>SUMIFS(tblData[Total loans],tblData[State],$A62,tblData[Year],G$56)</f>
        <v>102034</v>
      </c>
      <c r="H62" s="15">
        <f>SUMIFS(tblData[Total loans],tblData[State],$A62,tblData[Year],H$56)</f>
        <v>113144</v>
      </c>
      <c r="I62" s="15">
        <f>SUMIFS(tblData[Total loans],tblData[State],$A62,tblData[Year],I$56)</f>
        <v>129576</v>
      </c>
    </row>
    <row r="63" spans="1:9">
      <c r="A63" t="s">
        <v>34</v>
      </c>
      <c r="B63" s="15">
        <f>SUMIFS(tblData[Total loans],tblData[State],$A63,tblData[Year],B$56)</f>
        <v>62539</v>
      </c>
      <c r="C63" s="15">
        <f>SUMIFS(tblData[Total loans],tblData[State],$A63,tblData[Year],C$56)</f>
        <v>72965</v>
      </c>
      <c r="D63" s="15">
        <f>SUMIFS(tblData[Total loans],tblData[State],$A63,tblData[Year],D$56)</f>
        <v>125027</v>
      </c>
      <c r="E63" s="15">
        <f>SUMIFS(tblData[Total loans],tblData[State],$A63,tblData[Year],E$56)</f>
        <v>143971</v>
      </c>
      <c r="F63" s="15">
        <f>SUMIFS(tblData[Total loans],tblData[State],$A63,tblData[Year],F$56)</f>
        <v>72796</v>
      </c>
      <c r="G63" s="15">
        <f>SUMIFS(tblData[Total loans],tblData[State],$A63,tblData[Year],G$56)</f>
        <v>47680</v>
      </c>
      <c r="H63" s="15">
        <f>SUMIFS(tblData[Total loans],tblData[State],$A63,tblData[Year],H$56)</f>
        <v>50951</v>
      </c>
      <c r="I63" s="15">
        <f>SUMIFS(tblData[Total loans],tblData[State],$A63,tblData[Year],I$56)</f>
        <v>57666</v>
      </c>
    </row>
    <row r="64" spans="1:9">
      <c r="A64" t="s">
        <v>38</v>
      </c>
      <c r="B64" s="15">
        <f>SUMIFS(tblData[Total loans],tblData[State],$A64,tblData[Year],B$56)</f>
        <v>22515</v>
      </c>
      <c r="C64" s="15">
        <f>SUMIFS(tblData[Total loans],tblData[State],$A64,tblData[Year],C$56)</f>
        <v>28264</v>
      </c>
      <c r="D64" s="15">
        <f>SUMIFS(tblData[Total loans],tblData[State],$A64,tblData[Year],D$56)</f>
        <v>48122</v>
      </c>
      <c r="E64" s="15">
        <f>SUMIFS(tblData[Total loans],tblData[State],$A64,tblData[Year],E$56)</f>
        <v>53490</v>
      </c>
      <c r="F64" s="15">
        <f>SUMIFS(tblData[Total loans],tblData[State],$A64,tblData[Year],F$56)</f>
        <v>26511</v>
      </c>
      <c r="G64" s="15">
        <f>SUMIFS(tblData[Total loans],tblData[State],$A64,tblData[Year],G$56)</f>
        <v>17361</v>
      </c>
      <c r="H64" s="15">
        <f>SUMIFS(tblData[Total loans],tblData[State],$A64,tblData[Year],H$56)</f>
        <v>19413</v>
      </c>
      <c r="I64" s="15">
        <f>SUMIFS(tblData[Total loans],tblData[State],$A64,tblData[Year],I$56)</f>
        <v>21984</v>
      </c>
    </row>
    <row r="65" spans="1:9">
      <c r="A65" t="s">
        <v>41</v>
      </c>
      <c r="B65" s="15">
        <f>SUMIFS(tblData[Total loans],tblData[State],$A65,tblData[Year],B$56)</f>
        <v>13446</v>
      </c>
      <c r="C65" s="15">
        <f>SUMIFS(tblData[Total loans],tblData[State],$A65,tblData[Year],C$56)</f>
        <v>17529</v>
      </c>
      <c r="D65" s="15">
        <f>SUMIFS(tblData[Total loans],tblData[State],$A65,tblData[Year],D$56)</f>
        <v>31070</v>
      </c>
      <c r="E65" s="15">
        <f>SUMIFS(tblData[Total loans],tblData[State],$A65,tblData[Year],E$56)</f>
        <v>30212</v>
      </c>
      <c r="F65" s="15">
        <f>SUMIFS(tblData[Total loans],tblData[State],$A65,tblData[Year],F$56)</f>
        <v>12373</v>
      </c>
      <c r="G65" s="15">
        <f>SUMIFS(tblData[Total loans],tblData[State],$A65,tblData[Year],G$56)</f>
        <v>7348</v>
      </c>
      <c r="H65" s="15">
        <f>SUMIFS(tblData[Total loans],tblData[State],$A65,tblData[Year],H$56)</f>
        <v>7280</v>
      </c>
      <c r="I65" s="15">
        <f>SUMIFS(tblData[Total loans],tblData[State],$A65,tblData[Year],I$56)</f>
        <v>8048</v>
      </c>
    </row>
    <row r="66" spans="1:9">
      <c r="A66" t="s">
        <v>43</v>
      </c>
      <c r="B66" s="15">
        <f>SUMIFS(tblData[Total loans],tblData[State],$A66,tblData[Year],B$56)</f>
        <v>472199</v>
      </c>
      <c r="C66" s="15">
        <f>SUMIFS(tblData[Total loans],tblData[State],$A66,tblData[Year],C$56)</f>
        <v>560119</v>
      </c>
      <c r="D66" s="15">
        <f>SUMIFS(tblData[Total loans],tblData[State],$A66,tblData[Year],D$56)</f>
        <v>856194</v>
      </c>
      <c r="E66" s="15">
        <f>SUMIFS(tblData[Total loans],tblData[State],$A66,tblData[Year],E$56)</f>
        <v>970009</v>
      </c>
      <c r="F66" s="15">
        <f>SUMIFS(tblData[Total loans],tblData[State],$A66,tblData[Year],F$56)</f>
        <v>557944</v>
      </c>
      <c r="G66" s="15">
        <f>SUMIFS(tblData[Total loans],tblData[State],$A66,tblData[Year],G$56)</f>
        <v>384863</v>
      </c>
      <c r="H66" s="15">
        <f>SUMIFS(tblData[Total loans],tblData[State],$A66,tblData[Year],H$56)</f>
        <v>397859</v>
      </c>
      <c r="I66" s="15">
        <f>SUMIFS(tblData[Total loans],tblData[State],$A66,tblData[Year],I$56)</f>
        <v>411753</v>
      </c>
    </row>
    <row r="67" spans="1:9">
      <c r="A67" t="s">
        <v>45</v>
      </c>
      <c r="B67" s="15">
        <f>SUMIFS(tblData[Total loans],tblData[State],$A67,tblData[Year],B$56)</f>
        <v>227602</v>
      </c>
      <c r="C67" s="15">
        <f>SUMIFS(tblData[Total loans],tblData[State],$A67,tblData[Year],C$56)</f>
        <v>273520</v>
      </c>
      <c r="D67" s="15">
        <f>SUMIFS(tblData[Total loans],tblData[State],$A67,tblData[Year],D$56)</f>
        <v>431238</v>
      </c>
      <c r="E67" s="15">
        <f>SUMIFS(tblData[Total loans],tblData[State],$A67,tblData[Year],E$56)</f>
        <v>460507</v>
      </c>
      <c r="F67" s="15">
        <f>SUMIFS(tblData[Total loans],tblData[State],$A67,tblData[Year],F$56)</f>
        <v>253891</v>
      </c>
      <c r="G67" s="15">
        <f>SUMIFS(tblData[Total loans],tblData[State],$A67,tblData[Year],G$56)</f>
        <v>172815</v>
      </c>
      <c r="H67" s="15">
        <f>SUMIFS(tblData[Total loans],tblData[State],$A67,tblData[Year],H$56)</f>
        <v>189618</v>
      </c>
      <c r="I67" s="15">
        <f>SUMIFS(tblData[Total loans],tblData[State],$A67,tblData[Year],I$56)</f>
        <v>204590</v>
      </c>
    </row>
    <row r="68" spans="1:9">
      <c r="A68" t="s">
        <v>47</v>
      </c>
      <c r="B68" s="15">
        <f>SUMIFS(tblData[Total loans],tblData[State],$A68,tblData[Year],B$56)</f>
        <v>24296</v>
      </c>
      <c r="C68" s="15">
        <f>SUMIFS(tblData[Total loans],tblData[State],$A68,tblData[Year],C$56)</f>
        <v>31136</v>
      </c>
      <c r="D68" s="15">
        <f>SUMIFS(tblData[Total loans],tblData[State],$A68,tblData[Year],D$56)</f>
        <v>54317</v>
      </c>
      <c r="E68" s="15">
        <f>SUMIFS(tblData[Total loans],tblData[State],$A68,tblData[Year],E$56)</f>
        <v>56609</v>
      </c>
      <c r="F68" s="15">
        <f>SUMIFS(tblData[Total loans],tblData[State],$A68,tblData[Year],F$56)</f>
        <v>24688</v>
      </c>
      <c r="G68" s="15">
        <f>SUMIFS(tblData[Total loans],tblData[State],$A68,tblData[Year],G$56)</f>
        <v>12213</v>
      </c>
      <c r="H68" s="15">
        <f>SUMIFS(tblData[Total loans],tblData[State],$A68,tblData[Year],H$56)</f>
        <v>13131</v>
      </c>
      <c r="I68" s="15">
        <f>SUMIFS(tblData[Total loans],tblData[State],$A68,tblData[Year],I$56)</f>
        <v>16110</v>
      </c>
    </row>
    <row r="69" spans="1:9">
      <c r="A69" t="s">
        <v>49</v>
      </c>
      <c r="B69" s="15">
        <f>SUMIFS(tblData[Total loans],tblData[State],$A69,tblData[Year],B$56)</f>
        <v>54334</v>
      </c>
      <c r="C69" s="15">
        <f>SUMIFS(tblData[Total loans],tblData[State],$A69,tblData[Year],C$56)</f>
        <v>74359</v>
      </c>
      <c r="D69" s="15">
        <f>SUMIFS(tblData[Total loans],tblData[State],$A69,tblData[Year],D$56)</f>
        <v>117387</v>
      </c>
      <c r="E69" s="15">
        <f>SUMIFS(tblData[Total loans],tblData[State],$A69,tblData[Year],E$56)</f>
        <v>117410</v>
      </c>
      <c r="F69" s="15">
        <f>SUMIFS(tblData[Total loans],tblData[State],$A69,tblData[Year],F$56)</f>
        <v>55305</v>
      </c>
      <c r="G69" s="15">
        <f>SUMIFS(tblData[Total loans],tblData[State],$A69,tblData[Year],G$56)</f>
        <v>33653</v>
      </c>
      <c r="H69" s="15">
        <f>SUMIFS(tblData[Total loans],tblData[State],$A69,tblData[Year],H$56)</f>
        <v>37472</v>
      </c>
      <c r="I69" s="15">
        <f>SUMIFS(tblData[Total loans],tblData[State],$A69,tblData[Year],I$56)</f>
        <v>45248</v>
      </c>
    </row>
    <row r="70" spans="1:9">
      <c r="A70" t="s">
        <v>51</v>
      </c>
      <c r="B70" s="15">
        <f>SUMIFS(tblData[Total loans],tblData[State],$A70,tblData[Year],B$56)</f>
        <v>232048</v>
      </c>
      <c r="C70" s="15">
        <f>SUMIFS(tblData[Total loans],tblData[State],$A70,tblData[Year],C$56)</f>
        <v>285775</v>
      </c>
      <c r="D70" s="15">
        <f>SUMIFS(tblData[Total loans],tblData[State],$A70,tblData[Year],D$56)</f>
        <v>498517</v>
      </c>
      <c r="E70" s="15">
        <f>SUMIFS(tblData[Total loans],tblData[State],$A70,tblData[Year],E$56)</f>
        <v>493899</v>
      </c>
      <c r="F70" s="15">
        <f>SUMIFS(tblData[Total loans],tblData[State],$A70,tblData[Year],F$56)</f>
        <v>232608</v>
      </c>
      <c r="G70" s="15">
        <f>SUMIFS(tblData[Total loans],tblData[State],$A70,tblData[Year],G$56)</f>
        <v>158841</v>
      </c>
      <c r="H70" s="15">
        <f>SUMIFS(tblData[Total loans],tblData[State],$A70,tblData[Year],H$56)</f>
        <v>173448</v>
      </c>
      <c r="I70" s="15">
        <f>SUMIFS(tblData[Total loans],tblData[State],$A70,tblData[Year],I$56)</f>
        <v>194336</v>
      </c>
    </row>
    <row r="71" spans="1:9">
      <c r="A71" t="s">
        <v>55</v>
      </c>
      <c r="B71" s="15">
        <f>SUMIFS(tblData[Total loans],tblData[State],$A71,tblData[Year],B$56)</f>
        <v>149893</v>
      </c>
      <c r="C71" s="15">
        <f>SUMIFS(tblData[Total loans],tblData[State],$A71,tblData[Year],C$56)</f>
        <v>179275</v>
      </c>
      <c r="D71" s="15">
        <f>SUMIFS(tblData[Total loans],tblData[State],$A71,tblData[Year],D$56)</f>
        <v>295110</v>
      </c>
      <c r="E71" s="15">
        <f>SUMIFS(tblData[Total loans],tblData[State],$A71,tblData[Year],E$56)</f>
        <v>291268</v>
      </c>
      <c r="F71" s="15">
        <f>SUMIFS(tblData[Total loans],tblData[State],$A71,tblData[Year],F$56)</f>
        <v>165671</v>
      </c>
      <c r="G71" s="15">
        <f>SUMIFS(tblData[Total loans],tblData[State],$A71,tblData[Year],G$56)</f>
        <v>115588</v>
      </c>
      <c r="H71" s="15">
        <f>SUMIFS(tblData[Total loans],tblData[State],$A71,tblData[Year],H$56)</f>
        <v>129307</v>
      </c>
      <c r="I71" s="15">
        <f>SUMIFS(tblData[Total loans],tblData[State],$A71,tblData[Year],I$56)</f>
        <v>143278</v>
      </c>
    </row>
    <row r="72" spans="1:9">
      <c r="A72" t="s">
        <v>57</v>
      </c>
      <c r="B72" s="15">
        <f>SUMIFS(tblData[Total loans],tblData[State],$A72,tblData[Year],B$56)</f>
        <v>73578</v>
      </c>
      <c r="C72" s="15">
        <f>SUMIFS(tblData[Total loans],tblData[State],$A72,tblData[Year],C$56)</f>
        <v>84655</v>
      </c>
      <c r="D72" s="15">
        <f>SUMIFS(tblData[Total loans],tblData[State],$A72,tblData[Year],D$56)</f>
        <v>129187</v>
      </c>
      <c r="E72" s="15">
        <f>SUMIFS(tblData[Total loans],tblData[State],$A72,tblData[Year],E$56)</f>
        <v>125353</v>
      </c>
      <c r="F72" s="15">
        <f>SUMIFS(tblData[Total loans],tblData[State],$A72,tblData[Year],F$56)</f>
        <v>73435</v>
      </c>
      <c r="G72" s="15">
        <f>SUMIFS(tblData[Total loans],tblData[State],$A72,tblData[Year],G$56)</f>
        <v>50783</v>
      </c>
      <c r="H72" s="15">
        <f>SUMIFS(tblData[Total loans],tblData[State],$A72,tblData[Year],H$56)</f>
        <v>53691</v>
      </c>
      <c r="I72" s="15">
        <f>SUMIFS(tblData[Total loans],tblData[State],$A72,tblData[Year],I$56)</f>
        <v>61491</v>
      </c>
    </row>
    <row r="73" spans="1:9">
      <c r="A73" t="s">
        <v>60</v>
      </c>
      <c r="B73" s="15">
        <f>SUMIFS(tblData[Total loans],tblData[State],$A73,tblData[Year],B$56)</f>
        <v>53963</v>
      </c>
      <c r="C73" s="15">
        <f>SUMIFS(tblData[Total loans],tblData[State],$A73,tblData[Year],C$56)</f>
        <v>62999</v>
      </c>
      <c r="D73" s="15">
        <f>SUMIFS(tblData[Total loans],tblData[State],$A73,tblData[Year],D$56)</f>
        <v>100673</v>
      </c>
      <c r="E73" s="15">
        <f>SUMIFS(tblData[Total loans],tblData[State],$A73,tblData[Year],E$56)</f>
        <v>98443</v>
      </c>
      <c r="F73" s="15">
        <f>SUMIFS(tblData[Total loans],tblData[State],$A73,tblData[Year],F$56)</f>
        <v>54396</v>
      </c>
      <c r="G73" s="15">
        <f>SUMIFS(tblData[Total loans],tblData[State],$A73,tblData[Year],G$56)</f>
        <v>40352</v>
      </c>
      <c r="H73" s="15">
        <f>SUMIFS(tblData[Total loans],tblData[State],$A73,tblData[Year],H$56)</f>
        <v>44804</v>
      </c>
      <c r="I73" s="15">
        <f>SUMIFS(tblData[Total loans],tblData[State],$A73,tblData[Year],I$56)</f>
        <v>50524</v>
      </c>
    </row>
    <row r="74" spans="1:9">
      <c r="A74" t="s">
        <v>62</v>
      </c>
      <c r="B74" s="15">
        <f>SUMIFS(tblData[Total loans],tblData[State],$A74,tblData[Year],B$56)</f>
        <v>85531</v>
      </c>
      <c r="C74" s="15">
        <f>SUMIFS(tblData[Total loans],tblData[State],$A74,tblData[Year],C$56)</f>
        <v>100711</v>
      </c>
      <c r="D74" s="15">
        <f>SUMIFS(tblData[Total loans],tblData[State],$A74,tblData[Year],D$56)</f>
        <v>157241</v>
      </c>
      <c r="E74" s="15">
        <f>SUMIFS(tblData[Total loans],tblData[State],$A74,tblData[Year],E$56)</f>
        <v>161293</v>
      </c>
      <c r="F74" s="15">
        <f>SUMIFS(tblData[Total loans],tblData[State],$A74,tblData[Year],F$56)</f>
        <v>92937</v>
      </c>
      <c r="G74" s="15">
        <f>SUMIFS(tblData[Total loans],tblData[State],$A74,tblData[Year],G$56)</f>
        <v>65145</v>
      </c>
      <c r="H74" s="15">
        <f>SUMIFS(tblData[Total loans],tblData[State],$A74,tblData[Year],H$56)</f>
        <v>71647</v>
      </c>
      <c r="I74" s="15">
        <f>SUMIFS(tblData[Total loans],tblData[State],$A74,tblData[Year],I$56)</f>
        <v>81674</v>
      </c>
    </row>
    <row r="75" spans="1:9">
      <c r="A75" t="s">
        <v>64</v>
      </c>
      <c r="B75" s="15">
        <f>SUMIFS(tblData[Total loans],tblData[State],$A75,tblData[Year],B$56)</f>
        <v>77335</v>
      </c>
      <c r="C75" s="15">
        <f>SUMIFS(tblData[Total loans],tblData[State],$A75,tblData[Year],C$56)</f>
        <v>88224</v>
      </c>
      <c r="D75" s="15">
        <f>SUMIFS(tblData[Total loans],tblData[State],$A75,tblData[Year],D$56)</f>
        <v>137334</v>
      </c>
      <c r="E75" s="15">
        <f>SUMIFS(tblData[Total loans],tblData[State],$A75,tblData[Year],E$56)</f>
        <v>137264</v>
      </c>
      <c r="F75" s="15">
        <f>SUMIFS(tblData[Total loans],tblData[State],$A75,tblData[Year],F$56)</f>
        <v>81241</v>
      </c>
      <c r="G75" s="15">
        <f>SUMIFS(tblData[Total loans],tblData[State],$A75,tblData[Year],G$56)</f>
        <v>54124</v>
      </c>
      <c r="H75" s="15">
        <f>SUMIFS(tblData[Total loans],tblData[State],$A75,tblData[Year],H$56)</f>
        <v>55085</v>
      </c>
      <c r="I75" s="15">
        <f>SUMIFS(tblData[Total loans],tblData[State],$A75,tblData[Year],I$56)</f>
        <v>60987</v>
      </c>
    </row>
    <row r="76" spans="1:9">
      <c r="A76" t="s">
        <v>66</v>
      </c>
      <c r="B76" s="15">
        <f>SUMIFS(tblData[Total loans],tblData[State],$A76,tblData[Year],B$56)</f>
        <v>28707</v>
      </c>
      <c r="C76" s="15">
        <f>SUMIFS(tblData[Total loans],tblData[State],$A76,tblData[Year],C$56)</f>
        <v>34878</v>
      </c>
      <c r="D76" s="15">
        <f>SUMIFS(tblData[Total loans],tblData[State],$A76,tblData[Year],D$56)</f>
        <v>58755</v>
      </c>
      <c r="E76" s="15">
        <f>SUMIFS(tblData[Total loans],tblData[State],$A76,tblData[Year],E$56)</f>
        <v>59265</v>
      </c>
      <c r="F76" s="15">
        <f>SUMIFS(tblData[Total loans],tblData[State],$A76,tblData[Year],F$56)</f>
        <v>31692</v>
      </c>
      <c r="G76" s="15">
        <f>SUMIFS(tblData[Total loans],tblData[State],$A76,tblData[Year],G$56)</f>
        <v>20555</v>
      </c>
      <c r="H76" s="15">
        <f>SUMIFS(tblData[Total loans],tblData[State],$A76,tblData[Year],H$56)</f>
        <v>23454</v>
      </c>
      <c r="I76" s="15">
        <f>SUMIFS(tblData[Total loans],tblData[State],$A76,tblData[Year],I$56)</f>
        <v>26963</v>
      </c>
    </row>
    <row r="77" spans="1:9">
      <c r="A77" t="s">
        <v>68</v>
      </c>
      <c r="B77" s="15">
        <f>SUMIFS(tblData[Total loans],tblData[State],$A77,tblData[Year],B$56)</f>
        <v>126410</v>
      </c>
      <c r="C77" s="15">
        <f>SUMIFS(tblData[Total loans],tblData[State],$A77,tblData[Year],C$56)</f>
        <v>163912</v>
      </c>
      <c r="D77" s="15">
        <f>SUMIFS(tblData[Total loans],tblData[State],$A77,tblData[Year],D$56)</f>
        <v>301597</v>
      </c>
      <c r="E77" s="15">
        <f>SUMIFS(tblData[Total loans],tblData[State],$A77,tblData[Year],E$56)</f>
        <v>316128</v>
      </c>
      <c r="F77" s="15">
        <f>SUMIFS(tblData[Total loans],tblData[State],$A77,tblData[Year],F$56)</f>
        <v>135002</v>
      </c>
      <c r="G77" s="15">
        <f>SUMIFS(tblData[Total loans],tblData[State],$A77,tblData[Year],G$56)</f>
        <v>83330</v>
      </c>
      <c r="H77" s="15">
        <f>SUMIFS(tblData[Total loans],tblData[State],$A77,tblData[Year],H$56)</f>
        <v>94996</v>
      </c>
      <c r="I77" s="15">
        <f>SUMIFS(tblData[Total loans],tblData[State],$A77,tblData[Year],I$56)</f>
        <v>103575</v>
      </c>
    </row>
    <row r="78" spans="1:9">
      <c r="A78" t="s">
        <v>70</v>
      </c>
      <c r="B78" s="15">
        <f>SUMIFS(tblData[Total loans],tblData[State],$A78,tblData[Year],B$56)</f>
        <v>145721</v>
      </c>
      <c r="C78" s="15">
        <f>SUMIFS(tblData[Total loans],tblData[State],$A78,tblData[Year],C$56)</f>
        <v>189305</v>
      </c>
      <c r="D78" s="15">
        <f>SUMIFS(tblData[Total loans],tblData[State],$A78,tblData[Year],D$56)</f>
        <v>323507</v>
      </c>
      <c r="E78" s="15">
        <f>SUMIFS(tblData[Total loans],tblData[State],$A78,tblData[Year],E$56)</f>
        <v>317920</v>
      </c>
      <c r="F78" s="15">
        <f>SUMIFS(tblData[Total loans],tblData[State],$A78,tblData[Year],F$56)</f>
        <v>137527</v>
      </c>
      <c r="G78" s="15">
        <f>SUMIFS(tblData[Total loans],tblData[State],$A78,tblData[Year],G$56)</f>
        <v>80905</v>
      </c>
      <c r="H78" s="15">
        <f>SUMIFS(tblData[Total loans],tblData[State],$A78,tblData[Year],H$56)</f>
        <v>90335</v>
      </c>
      <c r="I78" s="15">
        <f>SUMIFS(tblData[Total loans],tblData[State],$A78,tblData[Year],I$56)</f>
        <v>105541</v>
      </c>
    </row>
    <row r="79" spans="1:9">
      <c r="A79" t="s">
        <v>72</v>
      </c>
      <c r="B79" s="15">
        <f>SUMIFS(tblData[Total loans],tblData[State],$A79,tblData[Year],B$56)</f>
        <v>212022</v>
      </c>
      <c r="C79" s="15">
        <f>SUMIFS(tblData[Total loans],tblData[State],$A79,tblData[Year],C$56)</f>
        <v>259357</v>
      </c>
      <c r="D79" s="15">
        <f>SUMIFS(tblData[Total loans],tblData[State],$A79,tblData[Year],D$56)</f>
        <v>420670</v>
      </c>
      <c r="E79" s="15">
        <f>SUMIFS(tblData[Total loans],tblData[State],$A79,tblData[Year],E$56)</f>
        <v>425901</v>
      </c>
      <c r="F79" s="15">
        <f>SUMIFS(tblData[Total loans],tblData[State],$A79,tblData[Year],F$56)</f>
        <v>212699</v>
      </c>
      <c r="G79" s="15">
        <f>SUMIFS(tblData[Total loans],tblData[State],$A79,tblData[Year],G$56)</f>
        <v>141464</v>
      </c>
      <c r="H79" s="15">
        <f>SUMIFS(tblData[Total loans],tblData[State],$A79,tblData[Year],H$56)</f>
        <v>159040</v>
      </c>
      <c r="I79" s="15">
        <f>SUMIFS(tblData[Total loans],tblData[State],$A79,tblData[Year],I$56)</f>
        <v>179584</v>
      </c>
    </row>
    <row r="80" spans="1:9">
      <c r="A80" t="s">
        <v>74</v>
      </c>
      <c r="B80" s="15">
        <f>SUMIFS(tblData[Total loans],tblData[State],$A80,tblData[Year],B$56)</f>
        <v>132410</v>
      </c>
      <c r="C80" s="15">
        <f>SUMIFS(tblData[Total loans],tblData[State],$A80,tblData[Year],C$56)</f>
        <v>167478</v>
      </c>
      <c r="D80" s="15">
        <f>SUMIFS(tblData[Total loans],tblData[State],$A80,tblData[Year],D$56)</f>
        <v>296791</v>
      </c>
      <c r="E80" s="15">
        <f>SUMIFS(tblData[Total loans],tblData[State],$A80,tblData[Year],E$56)</f>
        <v>279168</v>
      </c>
      <c r="F80" s="15">
        <f>SUMIFS(tblData[Total loans],tblData[State],$A80,tblData[Year],F$56)</f>
        <v>124335</v>
      </c>
      <c r="G80" s="15">
        <f>SUMIFS(tblData[Total loans],tblData[State],$A80,tblData[Year],G$56)</f>
        <v>81211</v>
      </c>
      <c r="H80" s="15">
        <f>SUMIFS(tblData[Total loans],tblData[State],$A80,tblData[Year],H$56)</f>
        <v>89230</v>
      </c>
      <c r="I80" s="15">
        <f>SUMIFS(tblData[Total loans],tblData[State],$A80,tblData[Year],I$56)</f>
        <v>98709</v>
      </c>
    </row>
    <row r="81" spans="1:9">
      <c r="A81" t="s">
        <v>76</v>
      </c>
      <c r="B81" s="15">
        <f>SUMIFS(tblData[Total loans],tblData[State],$A81,tblData[Year],B$56)</f>
        <v>47115</v>
      </c>
      <c r="C81" s="15">
        <f>SUMIFS(tblData[Total loans],tblData[State],$A81,tblData[Year],C$56)</f>
        <v>51617</v>
      </c>
      <c r="D81" s="15">
        <f>SUMIFS(tblData[Total loans],tblData[State],$A81,tblData[Year],D$56)</f>
        <v>73535</v>
      </c>
      <c r="E81" s="15">
        <f>SUMIFS(tblData[Total loans],tblData[State],$A81,tblData[Year],E$56)</f>
        <v>78646</v>
      </c>
      <c r="F81" s="15">
        <f>SUMIFS(tblData[Total loans],tblData[State],$A81,tblData[Year],F$56)</f>
        <v>52436</v>
      </c>
      <c r="G81" s="15">
        <f>SUMIFS(tblData[Total loans],tblData[State],$A81,tblData[Year],G$56)</f>
        <v>39047</v>
      </c>
      <c r="H81" s="15">
        <f>SUMIFS(tblData[Total loans],tblData[State],$A81,tblData[Year],H$56)</f>
        <v>42108</v>
      </c>
      <c r="I81" s="15">
        <f>SUMIFS(tblData[Total loans],tblData[State],$A81,tblData[Year],I$56)</f>
        <v>46448</v>
      </c>
    </row>
    <row r="82" spans="1:9">
      <c r="A82" t="s">
        <v>78</v>
      </c>
      <c r="B82" s="15">
        <f>SUMIFS(tblData[Total loans],tblData[State],$A82,tblData[Year],B$56)</f>
        <v>132198</v>
      </c>
      <c r="C82" s="15">
        <f>SUMIFS(tblData[Total loans],tblData[State],$A82,tblData[Year],C$56)</f>
        <v>159734</v>
      </c>
      <c r="D82" s="15">
        <f>SUMIFS(tblData[Total loans],tblData[State],$A82,tblData[Year],D$56)</f>
        <v>259178</v>
      </c>
      <c r="E82" s="15">
        <f>SUMIFS(tblData[Total loans],tblData[State],$A82,tblData[Year],E$56)</f>
        <v>256018</v>
      </c>
      <c r="F82" s="15">
        <f>SUMIFS(tblData[Total loans],tblData[State],$A82,tblData[Year],F$56)</f>
        <v>139513</v>
      </c>
      <c r="G82" s="15">
        <f>SUMIFS(tblData[Total loans],tblData[State],$A82,tblData[Year],G$56)</f>
        <v>97685</v>
      </c>
      <c r="H82" s="15">
        <f>SUMIFS(tblData[Total loans],tblData[State],$A82,tblData[Year],H$56)</f>
        <v>109700</v>
      </c>
      <c r="I82" s="15">
        <f>SUMIFS(tblData[Total loans],tblData[State],$A82,tblData[Year],I$56)</f>
        <v>123422</v>
      </c>
    </row>
    <row r="83" spans="1:9">
      <c r="A83" t="s">
        <v>80</v>
      </c>
      <c r="B83" s="15">
        <f>SUMIFS(tblData[Total loans],tblData[State],$A83,tblData[Year],B$56)</f>
        <v>22709</v>
      </c>
      <c r="C83" s="15">
        <f>SUMIFS(tblData[Total loans],tblData[State],$A83,tblData[Year],C$56)</f>
        <v>27451</v>
      </c>
      <c r="D83" s="15">
        <f>SUMIFS(tblData[Total loans],tblData[State],$A83,tblData[Year],D$56)</f>
        <v>48140</v>
      </c>
      <c r="E83" s="15">
        <f>SUMIFS(tblData[Total loans],tblData[State],$A83,tblData[Year],E$56)</f>
        <v>47684</v>
      </c>
      <c r="F83" s="15">
        <f>SUMIFS(tblData[Total loans],tblData[State],$A83,tblData[Year],F$56)</f>
        <v>23317</v>
      </c>
      <c r="G83" s="15">
        <f>SUMIFS(tblData[Total loans],tblData[State],$A83,tblData[Year],G$56)</f>
        <v>14125</v>
      </c>
      <c r="H83" s="15">
        <f>SUMIFS(tblData[Total loans],tblData[State],$A83,tblData[Year],H$56)</f>
        <v>15669</v>
      </c>
      <c r="I83" s="15">
        <f>SUMIFS(tblData[Total loans],tblData[State],$A83,tblData[Year],I$56)</f>
        <v>18961</v>
      </c>
    </row>
    <row r="84" spans="1:9">
      <c r="A84" t="s">
        <v>82</v>
      </c>
      <c r="B84" s="15">
        <f>SUMIFS(tblData[Total loans],tblData[State],$A84,tblData[Year],B$56)</f>
        <v>40272</v>
      </c>
      <c r="C84" s="15">
        <f>SUMIFS(tblData[Total loans],tblData[State],$A84,tblData[Year],C$56)</f>
        <v>48105</v>
      </c>
      <c r="D84" s="15">
        <f>SUMIFS(tblData[Total loans],tblData[State],$A84,tblData[Year],D$56)</f>
        <v>80175</v>
      </c>
      <c r="E84" s="15">
        <f>SUMIFS(tblData[Total loans],tblData[State],$A84,tblData[Year],E$56)</f>
        <v>74535</v>
      </c>
      <c r="F84" s="15">
        <f>SUMIFS(tblData[Total loans],tblData[State],$A84,tblData[Year],F$56)</f>
        <v>39451</v>
      </c>
      <c r="G84" s="15">
        <f>SUMIFS(tblData[Total loans],tblData[State],$A84,tblData[Year],G$56)</f>
        <v>28741</v>
      </c>
      <c r="H84" s="15">
        <f>SUMIFS(tblData[Total loans],tblData[State],$A84,tblData[Year],H$56)</f>
        <v>31426</v>
      </c>
      <c r="I84" s="15">
        <f>SUMIFS(tblData[Total loans],tblData[State],$A84,tblData[Year],I$56)</f>
        <v>36885</v>
      </c>
    </row>
    <row r="85" spans="1:9">
      <c r="A85" t="s">
        <v>84</v>
      </c>
      <c r="B85" s="15">
        <f>SUMIFS(tblData[Total loans],tblData[State],$A85,tblData[Year],B$56)</f>
        <v>87566</v>
      </c>
      <c r="C85" s="15">
        <f>SUMIFS(tblData[Total loans],tblData[State],$A85,tblData[Year],C$56)</f>
        <v>111057</v>
      </c>
      <c r="D85" s="15">
        <f>SUMIFS(tblData[Total loans],tblData[State],$A85,tblData[Year],D$56)</f>
        <v>172543</v>
      </c>
      <c r="E85" s="15">
        <f>SUMIFS(tblData[Total loans],tblData[State],$A85,tblData[Year],E$56)</f>
        <v>178443</v>
      </c>
      <c r="F85" s="15">
        <f>SUMIFS(tblData[Total loans],tblData[State],$A85,tblData[Year],F$56)</f>
        <v>77727</v>
      </c>
      <c r="G85" s="15">
        <f>SUMIFS(tblData[Total loans],tblData[State],$A85,tblData[Year],G$56)</f>
        <v>46782</v>
      </c>
      <c r="H85" s="15">
        <f>SUMIFS(tblData[Total loans],tblData[State],$A85,tblData[Year],H$56)</f>
        <v>55323</v>
      </c>
      <c r="I85" s="15">
        <f>SUMIFS(tblData[Total loans],tblData[State],$A85,tblData[Year],I$56)</f>
        <v>58559</v>
      </c>
    </row>
    <row r="86" spans="1:9">
      <c r="A86" t="s">
        <v>86</v>
      </c>
      <c r="B86" s="15">
        <f>SUMIFS(tblData[Total loans],tblData[State],$A86,tblData[Year],B$56)</f>
        <v>31871</v>
      </c>
      <c r="C86" s="15">
        <f>SUMIFS(tblData[Total loans],tblData[State],$A86,tblData[Year],C$56)</f>
        <v>40064</v>
      </c>
      <c r="D86" s="15">
        <f>SUMIFS(tblData[Total loans],tblData[State],$A86,tblData[Year],D$56)</f>
        <v>68123</v>
      </c>
      <c r="E86" s="15">
        <f>SUMIFS(tblData[Total loans],tblData[State],$A86,tblData[Year],E$56)</f>
        <v>68870</v>
      </c>
      <c r="F86" s="15">
        <f>SUMIFS(tblData[Total loans],tblData[State],$A86,tblData[Year],F$56)</f>
        <v>31385</v>
      </c>
      <c r="G86" s="15">
        <f>SUMIFS(tblData[Total loans],tblData[State],$A86,tblData[Year],G$56)</f>
        <v>19655</v>
      </c>
      <c r="H86" s="15">
        <f>SUMIFS(tblData[Total loans],tblData[State],$A86,tblData[Year],H$56)</f>
        <v>21865</v>
      </c>
      <c r="I86" s="15">
        <f>SUMIFS(tblData[Total loans],tblData[State],$A86,tblData[Year],I$56)</f>
        <v>26929</v>
      </c>
    </row>
    <row r="87" spans="1:9">
      <c r="A87" t="s">
        <v>88</v>
      </c>
      <c r="B87" s="15">
        <f>SUMIFS(tblData[Total loans],tblData[State],$A87,tblData[Year],B$56)</f>
        <v>160119</v>
      </c>
      <c r="C87" s="15">
        <f>SUMIFS(tblData[Total loans],tblData[State],$A87,tblData[Year],C$56)</f>
        <v>199277</v>
      </c>
      <c r="D87" s="15">
        <f>SUMIFS(tblData[Total loans],tblData[State],$A87,tblData[Year],D$56)</f>
        <v>346407</v>
      </c>
      <c r="E87" s="15">
        <f>SUMIFS(tblData[Total loans],tblData[State],$A87,tblData[Year],E$56)</f>
        <v>366820</v>
      </c>
      <c r="F87" s="15">
        <f>SUMIFS(tblData[Total loans],tblData[State],$A87,tblData[Year],F$56)</f>
        <v>166683</v>
      </c>
      <c r="G87" s="15">
        <f>SUMIFS(tblData[Total loans],tblData[State],$A87,tblData[Year],G$56)</f>
        <v>106113</v>
      </c>
      <c r="H87" s="15">
        <f>SUMIFS(tblData[Total loans],tblData[State],$A87,tblData[Year],H$56)</f>
        <v>120531</v>
      </c>
      <c r="I87" s="15">
        <f>SUMIFS(tblData[Total loans],tblData[State],$A87,tblData[Year],I$56)</f>
        <v>139607</v>
      </c>
    </row>
    <row r="88" spans="1:9">
      <c r="A88" t="s">
        <v>91</v>
      </c>
      <c r="B88" s="15">
        <f>SUMIFS(tblData[Total loans],tblData[State],$A88,tblData[Year],B$56)</f>
        <v>35766</v>
      </c>
      <c r="C88" s="15">
        <f>SUMIFS(tblData[Total loans],tblData[State],$A88,tblData[Year],C$56)</f>
        <v>42440</v>
      </c>
      <c r="D88" s="15">
        <f>SUMIFS(tblData[Total loans],tblData[State],$A88,tblData[Year],D$56)</f>
        <v>68266</v>
      </c>
      <c r="E88" s="15">
        <f>SUMIFS(tblData[Total loans],tblData[State],$A88,tblData[Year],E$56)</f>
        <v>73642</v>
      </c>
      <c r="F88" s="15">
        <f>SUMIFS(tblData[Total loans],tblData[State],$A88,tblData[Year],F$56)</f>
        <v>40130</v>
      </c>
      <c r="G88" s="15">
        <f>SUMIFS(tblData[Total loans],tblData[State],$A88,tblData[Year],G$56)</f>
        <v>26637</v>
      </c>
      <c r="H88" s="15">
        <f>SUMIFS(tblData[Total loans],tblData[State],$A88,tblData[Year],H$56)</f>
        <v>31127</v>
      </c>
      <c r="I88" s="15">
        <f>SUMIFS(tblData[Total loans],tblData[State],$A88,tblData[Year],I$56)</f>
        <v>33724</v>
      </c>
    </row>
    <row r="89" spans="1:9">
      <c r="A89" t="s">
        <v>93</v>
      </c>
      <c r="B89" s="15">
        <f>SUMIFS(tblData[Total loans],tblData[State],$A89,tblData[Year],B$56)</f>
        <v>233397</v>
      </c>
      <c r="C89" s="15">
        <f>SUMIFS(tblData[Total loans],tblData[State],$A89,tblData[Year],C$56)</f>
        <v>259757</v>
      </c>
      <c r="D89" s="15">
        <f>SUMIFS(tblData[Total loans],tblData[State],$A89,tblData[Year],D$56)</f>
        <v>364502</v>
      </c>
      <c r="E89" s="15">
        <f>SUMIFS(tblData[Total loans],tblData[State],$A89,tblData[Year],E$56)</f>
        <v>431809</v>
      </c>
      <c r="F89" s="15">
        <f>SUMIFS(tblData[Total loans],tblData[State],$A89,tblData[Year],F$56)</f>
        <v>248441</v>
      </c>
      <c r="G89" s="15">
        <f>SUMIFS(tblData[Total loans],tblData[State],$A89,tblData[Year],G$56)</f>
        <v>154253</v>
      </c>
      <c r="H89" s="15">
        <f>SUMIFS(tblData[Total loans],tblData[State],$A89,tblData[Year],H$56)</f>
        <v>159318</v>
      </c>
      <c r="I89" s="15">
        <f>SUMIFS(tblData[Total loans],tblData[State],$A89,tblData[Year],I$56)</f>
        <v>177568</v>
      </c>
    </row>
    <row r="90" spans="1:9">
      <c r="A90" t="s">
        <v>95</v>
      </c>
      <c r="B90" s="15">
        <f>SUMIFS(tblData[Total loans],tblData[State],$A90,tblData[Year],B$56)</f>
        <v>228007</v>
      </c>
      <c r="C90" s="15">
        <f>SUMIFS(tblData[Total loans],tblData[State],$A90,tblData[Year],C$56)</f>
        <v>282908</v>
      </c>
      <c r="D90" s="15">
        <f>SUMIFS(tblData[Total loans],tblData[State],$A90,tblData[Year],D$56)</f>
        <v>459648</v>
      </c>
      <c r="E90" s="15">
        <f>SUMIFS(tblData[Total loans],tblData[State],$A90,tblData[Year],E$56)</f>
        <v>503779</v>
      </c>
      <c r="F90" s="15">
        <f>SUMIFS(tblData[Total loans],tblData[State],$A90,tblData[Year],F$56)</f>
        <v>279638</v>
      </c>
      <c r="G90" s="15">
        <f>SUMIFS(tblData[Total loans],tblData[State],$A90,tblData[Year],G$56)</f>
        <v>188875</v>
      </c>
      <c r="H90" s="15">
        <f>SUMIFS(tblData[Total loans],tblData[State],$A90,tblData[Year],H$56)</f>
        <v>205014</v>
      </c>
      <c r="I90" s="15">
        <f>SUMIFS(tblData[Total loans],tblData[State],$A90,tblData[Year],I$56)</f>
        <v>231769</v>
      </c>
    </row>
    <row r="91" spans="1:9">
      <c r="A91" t="s">
        <v>97</v>
      </c>
      <c r="B91" s="15">
        <f>SUMIFS(tblData[Total loans],tblData[State],$A91,tblData[Year],B$56)</f>
        <v>14102</v>
      </c>
      <c r="C91" s="15">
        <f>SUMIFS(tblData[Total loans],tblData[State],$A91,tblData[Year],C$56)</f>
        <v>16228</v>
      </c>
      <c r="D91" s="15">
        <f>SUMIFS(tblData[Total loans],tblData[State],$A91,tblData[Year],D$56)</f>
        <v>28183</v>
      </c>
      <c r="E91" s="15">
        <f>SUMIFS(tblData[Total loans],tblData[State],$A91,tblData[Year],E$56)</f>
        <v>26361</v>
      </c>
      <c r="F91" s="15">
        <f>SUMIFS(tblData[Total loans],tblData[State],$A91,tblData[Year],F$56)</f>
        <v>13840</v>
      </c>
      <c r="G91" s="15">
        <f>SUMIFS(tblData[Total loans],tblData[State],$A91,tblData[Year],G$56)</f>
        <v>9647</v>
      </c>
      <c r="H91" s="15">
        <f>SUMIFS(tblData[Total loans],tblData[State],$A91,tblData[Year],H$56)</f>
        <v>10788</v>
      </c>
      <c r="I91" s="15">
        <f>SUMIFS(tblData[Total loans],tblData[State],$A91,tblData[Year],I$56)</f>
        <v>11670</v>
      </c>
    </row>
    <row r="92" spans="1:9">
      <c r="A92" t="s">
        <v>99</v>
      </c>
      <c r="B92" s="15">
        <f>SUMIFS(tblData[Total loans],tblData[State],$A92,tblData[Year],B$56)</f>
        <v>235981</v>
      </c>
      <c r="C92" s="15">
        <f>SUMIFS(tblData[Total loans],tblData[State],$A92,tblData[Year],C$56)</f>
        <v>276746</v>
      </c>
      <c r="D92" s="15">
        <f>SUMIFS(tblData[Total loans],tblData[State],$A92,tblData[Year],D$56)</f>
        <v>424025</v>
      </c>
      <c r="E92" s="15">
        <f>SUMIFS(tblData[Total loans],tblData[State],$A92,tblData[Year],E$56)</f>
        <v>447689</v>
      </c>
      <c r="F92" s="15">
        <f>SUMIFS(tblData[Total loans],tblData[State],$A92,tblData[Year],F$56)</f>
        <v>250021</v>
      </c>
      <c r="G92" s="15">
        <f>SUMIFS(tblData[Total loans],tblData[State],$A92,tblData[Year],G$56)</f>
        <v>171804</v>
      </c>
      <c r="H92" s="15">
        <f>SUMIFS(tblData[Total loans],tblData[State],$A92,tblData[Year],H$56)</f>
        <v>188884</v>
      </c>
      <c r="I92" s="15">
        <f>SUMIFS(tblData[Total loans],tblData[State],$A92,tblData[Year],I$56)</f>
        <v>216579</v>
      </c>
    </row>
    <row r="93" spans="1:9">
      <c r="A93" t="s">
        <v>101</v>
      </c>
      <c r="B93" s="15">
        <f>SUMIFS(tblData[Total loans],tblData[State],$A93,tblData[Year],B$56)</f>
        <v>69105</v>
      </c>
      <c r="C93" s="15">
        <f>SUMIFS(tblData[Total loans],tblData[State],$A93,tblData[Year],C$56)</f>
        <v>77273</v>
      </c>
      <c r="D93" s="15">
        <f>SUMIFS(tblData[Total loans],tblData[State],$A93,tblData[Year],D$56)</f>
        <v>113074</v>
      </c>
      <c r="E93" s="15">
        <f>SUMIFS(tblData[Total loans],tblData[State],$A93,tblData[Year],E$56)</f>
        <v>118554</v>
      </c>
      <c r="F93" s="15">
        <f>SUMIFS(tblData[Total loans],tblData[State],$A93,tblData[Year],F$56)</f>
        <v>77101</v>
      </c>
      <c r="G93" s="15">
        <f>SUMIFS(tblData[Total loans],tblData[State],$A93,tblData[Year],G$56)</f>
        <v>56497</v>
      </c>
      <c r="H93" s="15">
        <f>SUMIFS(tblData[Total loans],tblData[State],$A93,tblData[Year],H$56)</f>
        <v>61555</v>
      </c>
      <c r="I93" s="15">
        <f>SUMIFS(tblData[Total loans],tblData[State],$A93,tblData[Year],I$56)</f>
        <v>67657</v>
      </c>
    </row>
    <row r="94" spans="1:9">
      <c r="A94" t="s">
        <v>103</v>
      </c>
      <c r="B94" s="15">
        <f>SUMIFS(tblData[Total loans],tblData[State],$A94,tblData[Year],B$56)</f>
        <v>101645</v>
      </c>
      <c r="C94" s="15">
        <f>SUMIFS(tblData[Total loans],tblData[State],$A94,tblData[Year],C$56)</f>
        <v>129881</v>
      </c>
      <c r="D94" s="15">
        <f>SUMIFS(tblData[Total loans],tblData[State],$A94,tblData[Year],D$56)</f>
        <v>229128</v>
      </c>
      <c r="E94" s="15">
        <f>SUMIFS(tblData[Total loans],tblData[State],$A94,tblData[Year],E$56)</f>
        <v>224227</v>
      </c>
      <c r="F94" s="15">
        <f>SUMIFS(tblData[Total loans],tblData[State],$A94,tblData[Year],F$56)</f>
        <v>94518</v>
      </c>
      <c r="G94" s="15">
        <f>SUMIFS(tblData[Total loans],tblData[State],$A94,tblData[Year],G$56)</f>
        <v>51823</v>
      </c>
      <c r="H94" s="15">
        <f>SUMIFS(tblData[Total loans],tblData[State],$A94,tblData[Year],H$56)</f>
        <v>58887</v>
      </c>
      <c r="I94" s="15">
        <f>SUMIFS(tblData[Total loans],tblData[State],$A94,tblData[Year],I$56)</f>
        <v>68676</v>
      </c>
    </row>
    <row r="95" spans="1:9">
      <c r="A95" t="s">
        <v>105</v>
      </c>
      <c r="B95" s="15">
        <f>SUMIFS(tblData[Total loans],tblData[State],$A95,tblData[Year],B$56)</f>
        <v>235392</v>
      </c>
      <c r="C95" s="15">
        <f>SUMIFS(tblData[Total loans],tblData[State],$A95,tblData[Year],C$56)</f>
        <v>270262</v>
      </c>
      <c r="D95" s="15">
        <f>SUMIFS(tblData[Total loans],tblData[State],$A95,tblData[Year],D$56)</f>
        <v>409209</v>
      </c>
      <c r="E95" s="15">
        <f>SUMIFS(tblData[Total loans],tblData[State],$A95,tblData[Year],E$56)</f>
        <v>453854</v>
      </c>
      <c r="F95" s="15">
        <f>SUMIFS(tblData[Total loans],tblData[State],$A95,tblData[Year],F$56)</f>
        <v>252706</v>
      </c>
      <c r="G95" s="15">
        <f>SUMIFS(tblData[Total loans],tblData[State],$A95,tblData[Year],G$56)</f>
        <v>168096</v>
      </c>
      <c r="H95" s="15">
        <f>SUMIFS(tblData[Total loans],tblData[State],$A95,tblData[Year],H$56)</f>
        <v>179544</v>
      </c>
      <c r="I95" s="15">
        <f>SUMIFS(tblData[Total loans],tblData[State],$A95,tblData[Year],I$56)</f>
        <v>202906</v>
      </c>
    </row>
    <row r="96" spans="1:9">
      <c r="A96" t="s">
        <v>107</v>
      </c>
      <c r="B96" s="15">
        <f>SUMIFS(tblData[Total loans],tblData[State],$A96,tblData[Year],B$56)</f>
        <v>24158</v>
      </c>
      <c r="C96" s="15">
        <f>SUMIFS(tblData[Total loans],tblData[State],$A96,tblData[Year],C$56)</f>
        <v>30009</v>
      </c>
      <c r="D96" s="15">
        <f>SUMIFS(tblData[Total loans],tblData[State],$A96,tblData[Year],D$56)</f>
        <v>47874</v>
      </c>
      <c r="E96" s="15">
        <f>SUMIFS(tblData[Total loans],tblData[State],$A96,tblData[Year],E$56)</f>
        <v>50172</v>
      </c>
      <c r="F96" s="15">
        <f>SUMIFS(tblData[Total loans],tblData[State],$A96,tblData[Year],F$56)</f>
        <v>24267</v>
      </c>
      <c r="G96" s="15">
        <f>SUMIFS(tblData[Total loans],tblData[State],$A96,tblData[Year],G$56)</f>
        <v>14404</v>
      </c>
      <c r="H96" s="15">
        <f>SUMIFS(tblData[Total loans],tblData[State],$A96,tblData[Year],H$56)</f>
        <v>16593</v>
      </c>
      <c r="I96" s="15">
        <f>SUMIFS(tblData[Total loans],tblData[State],$A96,tblData[Year],I$56)</f>
        <v>19628</v>
      </c>
    </row>
    <row r="97" spans="1:9">
      <c r="A97" t="s">
        <v>109</v>
      </c>
      <c r="B97" s="15">
        <f>SUMIFS(tblData[Total loans],tblData[State],$A97,tblData[Year],B$56)</f>
        <v>117834</v>
      </c>
      <c r="C97" s="15">
        <f>SUMIFS(tblData[Total loans],tblData[State],$A97,tblData[Year],C$56)</f>
        <v>142624</v>
      </c>
      <c r="D97" s="15">
        <f>SUMIFS(tblData[Total loans],tblData[State],$A97,tblData[Year],D$56)</f>
        <v>227676</v>
      </c>
      <c r="E97" s="15">
        <f>SUMIFS(tblData[Total loans],tblData[State],$A97,tblData[Year],E$56)</f>
        <v>244973</v>
      </c>
      <c r="F97" s="15">
        <f>SUMIFS(tblData[Total loans],tblData[State],$A97,tblData[Year],F$56)</f>
        <v>139263</v>
      </c>
      <c r="G97" s="15">
        <f>SUMIFS(tblData[Total loans],tblData[State],$A97,tblData[Year],G$56)</f>
        <v>98330</v>
      </c>
      <c r="H97" s="15">
        <f>SUMIFS(tblData[Total loans],tblData[State],$A97,tblData[Year],H$56)</f>
        <v>108228</v>
      </c>
      <c r="I97" s="15">
        <f>SUMIFS(tblData[Total loans],tblData[State],$A97,tblData[Year],I$56)</f>
        <v>122767</v>
      </c>
    </row>
    <row r="98" spans="1:9">
      <c r="A98" t="s">
        <v>111</v>
      </c>
      <c r="B98" s="15">
        <f>SUMIFS(tblData[Total loans],tblData[State],$A98,tblData[Year],B$56)</f>
        <v>17075</v>
      </c>
      <c r="C98" s="15">
        <f>SUMIFS(tblData[Total loans],tblData[State],$A98,tblData[Year],C$56)</f>
        <v>20810</v>
      </c>
      <c r="D98" s="15">
        <f>SUMIFS(tblData[Total loans],tblData[State],$A98,tblData[Year],D$56)</f>
        <v>38579</v>
      </c>
      <c r="E98" s="15">
        <f>SUMIFS(tblData[Total loans],tblData[State],$A98,tblData[Year],E$56)</f>
        <v>31396</v>
      </c>
      <c r="F98" s="15">
        <f>SUMIFS(tblData[Total loans],tblData[State],$A98,tblData[Year],F$56)</f>
        <v>17991</v>
      </c>
      <c r="G98" s="15">
        <f>SUMIFS(tblData[Total loans],tblData[State],$A98,tblData[Year],G$56)</f>
        <v>12402</v>
      </c>
      <c r="H98" s="15">
        <f>SUMIFS(tblData[Total loans],tblData[State],$A98,tblData[Year],H$56)</f>
        <v>13297</v>
      </c>
      <c r="I98" s="15">
        <f>SUMIFS(tblData[Total loans],tblData[State],$A98,tblData[Year],I$56)</f>
        <v>14768</v>
      </c>
    </row>
    <row r="99" spans="1:9">
      <c r="A99" t="s">
        <v>113</v>
      </c>
      <c r="B99" s="15">
        <f>SUMIFS(tblData[Total loans],tblData[State],$A99,tblData[Year],B$56)</f>
        <v>151604</v>
      </c>
      <c r="C99" s="15">
        <f>SUMIFS(tblData[Total loans],tblData[State],$A99,tblData[Year],C$56)</f>
        <v>182360</v>
      </c>
      <c r="D99" s="15">
        <f>SUMIFS(tblData[Total loans],tblData[State],$A99,tblData[Year],D$56)</f>
        <v>283237</v>
      </c>
      <c r="E99" s="15">
        <f>SUMIFS(tblData[Total loans],tblData[State],$A99,tblData[Year],E$56)</f>
        <v>296668</v>
      </c>
      <c r="F99" s="15">
        <f>SUMIFS(tblData[Total loans],tblData[State],$A99,tblData[Year],F$56)</f>
        <v>178078</v>
      </c>
      <c r="G99" s="15">
        <f>SUMIFS(tblData[Total loans],tblData[State],$A99,tblData[Year],G$56)</f>
        <v>122624</v>
      </c>
      <c r="H99" s="15">
        <f>SUMIFS(tblData[Total loans],tblData[State],$A99,tblData[Year],H$56)</f>
        <v>132452</v>
      </c>
      <c r="I99" s="15">
        <f>SUMIFS(tblData[Total loans],tblData[State],$A99,tblData[Year],I$56)</f>
        <v>146879</v>
      </c>
    </row>
    <row r="100" spans="1:9">
      <c r="A100" t="s">
        <v>115</v>
      </c>
      <c r="B100" s="15">
        <f>SUMIFS(tblData[Total loans],tblData[State],$A100,tblData[Year],B$56)</f>
        <v>507370</v>
      </c>
      <c r="C100" s="15">
        <f>SUMIFS(tblData[Total loans],tblData[State],$A100,tblData[Year],C$56)</f>
        <v>596215</v>
      </c>
      <c r="D100" s="15">
        <f>SUMIFS(tblData[Total loans],tblData[State],$A100,tblData[Year],D$56)</f>
        <v>980108</v>
      </c>
      <c r="E100" s="15">
        <f>SUMIFS(tblData[Total loans],tblData[State],$A100,tblData[Year],E$56)</f>
        <v>1011945</v>
      </c>
      <c r="F100" s="15">
        <f>SUMIFS(tblData[Total loans],tblData[State],$A100,tblData[Year],F$56)</f>
        <v>598079</v>
      </c>
      <c r="G100" s="15">
        <f>SUMIFS(tblData[Total loans],tblData[State],$A100,tblData[Year],G$56)</f>
        <v>421653</v>
      </c>
      <c r="H100" s="15">
        <f>SUMIFS(tblData[Total loans],tblData[State],$A100,tblData[Year],H$56)</f>
        <v>450345</v>
      </c>
      <c r="I100" s="15">
        <f>SUMIFS(tblData[Total loans],tblData[State],$A100,tblData[Year],I$56)</f>
        <v>480735</v>
      </c>
    </row>
    <row r="101" spans="1:9">
      <c r="A101" t="s">
        <v>117</v>
      </c>
      <c r="B101" s="15">
        <f>SUMIFS(tblData[Total loans],tblData[State],$A101,tblData[Year],B$56)</f>
        <v>99678</v>
      </c>
      <c r="C101" s="15">
        <f>SUMIFS(tblData[Total loans],tblData[State],$A101,tblData[Year],C$56)</f>
        <v>141538</v>
      </c>
      <c r="D101" s="15">
        <f>SUMIFS(tblData[Total loans],tblData[State],$A101,tblData[Year],D$56)</f>
        <v>251433</v>
      </c>
      <c r="E101" s="15">
        <f>SUMIFS(tblData[Total loans],tblData[State],$A101,tblData[Year],E$56)</f>
        <v>219225</v>
      </c>
      <c r="F101" s="15">
        <f>SUMIFS(tblData[Total loans],tblData[State],$A101,tblData[Year],F$56)</f>
        <v>98178</v>
      </c>
      <c r="G101" s="15">
        <f>SUMIFS(tblData[Total loans],tblData[State],$A101,tblData[Year],G$56)</f>
        <v>56986</v>
      </c>
      <c r="H101" s="15">
        <f>SUMIFS(tblData[Total loans],tblData[State],$A101,tblData[Year],H$56)</f>
        <v>65249</v>
      </c>
      <c r="I101" s="15">
        <f>SUMIFS(tblData[Total loans],tblData[State],$A101,tblData[Year],I$56)</f>
        <v>75120</v>
      </c>
    </row>
    <row r="102" spans="1:9">
      <c r="A102" t="s">
        <v>119</v>
      </c>
      <c r="B102" s="15">
        <f>SUMIFS(tblData[Total loans],tblData[State],$A102,tblData[Year],B$56)</f>
        <v>11731</v>
      </c>
      <c r="C102" s="15">
        <f>SUMIFS(tblData[Total loans],tblData[State],$A102,tblData[Year],C$56)</f>
        <v>13604</v>
      </c>
      <c r="D102" s="15">
        <f>SUMIFS(tblData[Total loans],tblData[State],$A102,tblData[Year],D$56)</f>
        <v>22970</v>
      </c>
      <c r="E102" s="15">
        <f>SUMIFS(tblData[Total loans],tblData[State],$A102,tblData[Year],E$56)</f>
        <v>23214</v>
      </c>
      <c r="F102" s="15">
        <f>SUMIFS(tblData[Total loans],tblData[State],$A102,tblData[Year],F$56)</f>
        <v>12781</v>
      </c>
      <c r="G102" s="15">
        <f>SUMIFS(tblData[Total loans],tblData[State],$A102,tblData[Year],G$56)</f>
        <v>7788</v>
      </c>
      <c r="H102" s="15">
        <f>SUMIFS(tblData[Total loans],tblData[State],$A102,tblData[Year],H$56)</f>
        <v>8524</v>
      </c>
      <c r="I102" s="15">
        <f>SUMIFS(tblData[Total loans],tblData[State],$A102,tblData[Year],I$56)</f>
        <v>10082</v>
      </c>
    </row>
    <row r="103" spans="1:9">
      <c r="A103" t="s">
        <v>121</v>
      </c>
      <c r="B103" s="15">
        <f>SUMIFS(tblData[Total loans],tblData[State],$A103,tblData[Year],B$56)</f>
        <v>183659</v>
      </c>
      <c r="C103" s="15">
        <f>SUMIFS(tblData[Total loans],tblData[State],$A103,tblData[Year],C$56)</f>
        <v>240107</v>
      </c>
      <c r="D103" s="15">
        <f>SUMIFS(tblData[Total loans],tblData[State],$A103,tblData[Year],D$56)</f>
        <v>449164</v>
      </c>
      <c r="E103" s="15">
        <f>SUMIFS(tblData[Total loans],tblData[State],$A103,tblData[Year],E$56)</f>
        <v>447055</v>
      </c>
      <c r="F103" s="15">
        <f>SUMIFS(tblData[Total loans],tblData[State],$A103,tblData[Year],F$56)</f>
        <v>198991</v>
      </c>
      <c r="G103" s="15">
        <f>SUMIFS(tblData[Total loans],tblData[State],$A103,tblData[Year],G$56)</f>
        <v>126501</v>
      </c>
      <c r="H103" s="15">
        <f>SUMIFS(tblData[Total loans],tblData[State],$A103,tblData[Year],H$56)</f>
        <v>145620</v>
      </c>
      <c r="I103" s="15">
        <f>SUMIFS(tblData[Total loans],tblData[State],$A103,tblData[Year],I$56)</f>
        <v>164098</v>
      </c>
    </row>
    <row r="104" spans="1:9">
      <c r="A104" t="s">
        <v>123</v>
      </c>
      <c r="B104" s="15">
        <f>SUMIFS(tblData[Total loans],tblData[State],$A104,tblData[Year],B$56)</f>
        <v>203737</v>
      </c>
      <c r="C104" s="15">
        <f>SUMIFS(tblData[Total loans],tblData[State],$A104,tblData[Year],C$56)</f>
        <v>269709</v>
      </c>
      <c r="D104" s="15">
        <f>SUMIFS(tblData[Total loans],tblData[State],$A104,tblData[Year],D$56)</f>
        <v>475482</v>
      </c>
      <c r="E104" s="15">
        <f>SUMIFS(tblData[Total loans],tblData[State],$A104,tblData[Year],E$56)</f>
        <v>449939</v>
      </c>
      <c r="F104" s="15">
        <f>SUMIFS(tblData[Total loans],tblData[State],$A104,tblData[Year],F$56)</f>
        <v>182321</v>
      </c>
      <c r="G104" s="15">
        <f>SUMIFS(tblData[Total loans],tblData[State],$A104,tblData[Year],G$56)</f>
        <v>101889</v>
      </c>
      <c r="H104" s="15">
        <f>SUMIFS(tblData[Total loans],tblData[State],$A104,tblData[Year],H$56)</f>
        <v>119676</v>
      </c>
      <c r="I104" s="15">
        <f>SUMIFS(tblData[Total loans],tblData[State],$A104,tblData[Year],I$56)</f>
        <v>140135</v>
      </c>
    </row>
    <row r="105" spans="1:9">
      <c r="A105" t="s">
        <v>125</v>
      </c>
      <c r="B105" s="15">
        <f>SUMIFS(tblData[Total loans],tblData[State],$A105,tblData[Year],B$56)</f>
        <v>26378</v>
      </c>
      <c r="C105" s="15">
        <f>SUMIFS(tblData[Total loans],tblData[State],$A105,tblData[Year],C$56)</f>
        <v>29093</v>
      </c>
      <c r="D105" s="15">
        <f>SUMIFS(tblData[Total loans],tblData[State],$A105,tblData[Year],D$56)</f>
        <v>40817</v>
      </c>
      <c r="E105" s="15">
        <f>SUMIFS(tblData[Total loans],tblData[State],$A105,tblData[Year],E$56)</f>
        <v>46313</v>
      </c>
      <c r="F105" s="15">
        <f>SUMIFS(tblData[Total loans],tblData[State],$A105,tblData[Year],F$56)</f>
        <v>29306</v>
      </c>
      <c r="G105" s="15">
        <f>SUMIFS(tblData[Total loans],tblData[State],$A105,tblData[Year],G$56)</f>
        <v>21394</v>
      </c>
      <c r="H105" s="15">
        <f>SUMIFS(tblData[Total loans],tblData[State],$A105,tblData[Year],H$56)</f>
        <v>22780</v>
      </c>
      <c r="I105" s="15">
        <f>SUMIFS(tblData[Total loans],tblData[State],$A105,tblData[Year],I$56)</f>
        <v>24930</v>
      </c>
    </row>
    <row r="106" spans="1:9">
      <c r="A106" t="s">
        <v>127</v>
      </c>
      <c r="B106" s="15">
        <f>SUMIFS(tblData[Total loans],tblData[State],$A106,tblData[Year],B$56)</f>
        <v>133200</v>
      </c>
      <c r="C106" s="15">
        <f>SUMIFS(tblData[Total loans],tblData[State],$A106,tblData[Year],C$56)</f>
        <v>168893</v>
      </c>
      <c r="D106" s="15">
        <f>SUMIFS(tblData[Total loans],tblData[State],$A106,tblData[Year],D$56)</f>
        <v>292258</v>
      </c>
      <c r="E106" s="15">
        <f>SUMIFS(tblData[Total loans],tblData[State],$A106,tblData[Year],E$56)</f>
        <v>275103</v>
      </c>
      <c r="F106" s="15">
        <f>SUMIFS(tblData[Total loans],tblData[State],$A106,tblData[Year],F$56)</f>
        <v>134606</v>
      </c>
      <c r="G106" s="15">
        <f>SUMIFS(tblData[Total loans],tblData[State],$A106,tblData[Year],G$56)</f>
        <v>91239</v>
      </c>
      <c r="H106" s="15">
        <f>SUMIFS(tblData[Total loans],tblData[State],$A106,tblData[Year],H$56)</f>
        <v>102759</v>
      </c>
      <c r="I106" s="15">
        <f>SUMIFS(tblData[Total loans],tblData[State],$A106,tblData[Year],I$56)</f>
        <v>117645</v>
      </c>
    </row>
    <row r="107" spans="1:9">
      <c r="A107" t="s">
        <v>129</v>
      </c>
      <c r="B107" s="15">
        <f>SUMIFS(tblData[Total loans],tblData[State],$A107,tblData[Year],B$56)</f>
        <v>12706</v>
      </c>
      <c r="C107" s="15">
        <f>SUMIFS(tblData[Total loans],tblData[State],$A107,tblData[Year],C$56)</f>
        <v>14987</v>
      </c>
      <c r="D107" s="15">
        <f>SUMIFS(tblData[Total loans],tblData[State],$A107,tblData[Year],D$56)</f>
        <v>25244</v>
      </c>
      <c r="E107" s="15">
        <f>SUMIFS(tblData[Total loans],tblData[State],$A107,tblData[Year],E$56)</f>
        <v>25569</v>
      </c>
      <c r="F107" s="15">
        <f>SUMIFS(tblData[Total loans],tblData[State],$A107,tblData[Year],F$56)</f>
        <v>12898</v>
      </c>
      <c r="G107" s="15">
        <f>SUMIFS(tblData[Total loans],tblData[State],$A107,tblData[Year],G$56)</f>
        <v>8152</v>
      </c>
      <c r="H107" s="15">
        <f>SUMIFS(tblData[Total loans],tblData[State],$A107,tblData[Year],H$56)</f>
        <v>9423</v>
      </c>
      <c r="I107" s="15">
        <f>SUMIFS(tblData[Total loans],tblData[State],$A107,tblData[Year],I$56)</f>
        <v>11286</v>
      </c>
    </row>
  </sheetData>
  <pageMargins left="0.7" right="0.7" top="0.75" bottom="0.75" header="0.3" footer="0.3"/>
  <headerFooter>
    <oddFooter>&amp;L&amp;8Built from public FHFA and CFPB data. Not an official Fannie Mae, FHFA, or CFPB product.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</vt:lpstr>
      <vt:lpstr>Pivot</vt:lpstr>
      <vt:lpstr>Notes</vt:lpstr>
      <vt:lpstr>Calc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Housing Market Analysis</dc:title>
  <dc:creator/>
  <dc:description>Built from public FHFA and CFPB data. Not an official Fannie Mae, FHFA, or CFPB product.</dc:description>
  <cp:lastModifiedBy/>
  <dcterms:created xsi:type="dcterms:W3CDTF">2026-10-20T17:10:18Z</dcterms:created>
  <dcterms:modified xsi:type="dcterms:W3CDTF">2026-10-20T17:10:18Z</dcterms:modified>
</cp:coreProperties>
</file>